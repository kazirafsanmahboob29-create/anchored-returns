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ses" sheetId="2" state="visible" r:id="rId4"/>
    <sheet name="Passages" sheetId="3" state="visible" r:id="rId5"/>
    <sheet name="Case_Codes" sheetId="4" state="visible" r:id="rId6"/>
    <sheet name="Reliability" sheetId="5" state="visible" r:id="rId7"/>
    <sheet name="Summary" sheetId="6" state="visible" r:id="rId8"/>
    <sheet name="Lis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Sample = selected by the rule; Included by design = DE 24-070; Substitute (settled) = replacement when litigated orders ran out.</t>
        </r>
      </text>
    </comment>
    <comment ref="J1" authorId="0">
      <text>
        <r>
          <rPr>
            <sz val="10"/>
            <rFont val="Arial"/>
            <family val="2"/>
          </rPr>
          <t xml:space="preserve">Date the decision was announced at an open meeting, if different from the written order date (common in RI).</t>
        </r>
      </text>
    </comment>
    <comment ref="N1" authorId="0">
      <text>
        <r>
          <rPr>
            <sz val="10"/>
            <rFont val="Arial"/>
            <family val="2"/>
          </rPr>
          <t xml:space="preserve">The ROE the utility asked for in its ORIGINAL filing. requested_roe is its final request. Utilities often revise mid-case (Eversource: 10.8% to 10.3%).</t>
        </r>
      </text>
    </comment>
    <comment ref="O1" authorId="0">
      <text>
        <r>
          <rPr>
            <sz val="10"/>
            <rFont val="Arial"/>
            <family val="2"/>
          </rPr>
          <t xml:space="preserve">The utility's final requested ROE as stated in the order.</t>
        </r>
      </text>
    </comment>
    <comment ref="S1" authorId="0">
      <text>
        <r>
          <rPr>
            <sz val="10"/>
            <rFont val="Arial"/>
            <family val="2"/>
          </rPr>
          <t xml:space="preserve">Consumer advocate's recommended ROE. Use a point estimate; if a range, use its midpoint and note it.</t>
        </r>
      </text>
    </comment>
    <comment ref="U1" authorId="0">
      <text>
        <r>
          <rPr>
            <sz val="10"/>
            <rFont val="Arial"/>
            <family val="2"/>
          </rPr>
          <t xml:space="preserve">ROE proposed by a hearing examiner or administrative law judge, if any. Another reference point the commission could anchor on.</t>
        </r>
      </text>
    </comment>
    <comment ref="V1" authorId="0">
      <text>
        <r>
          <rPr>
            <sz val="10"/>
            <rFont val="Arial"/>
            <family val="2"/>
          </rPr>
          <t xml:space="preserve">Low end of the 'range of reasonableness' the commission itself states, if any (Rule 7).</t>
        </r>
      </text>
    </comment>
    <comment ref="X1" authorId="0">
      <text>
        <r>
          <rPr>
            <sz val="10"/>
            <rFont val="Arial"/>
            <family val="2"/>
          </rPr>
          <t xml:space="preserve">BASE authorized ROE, before any performance penalty or reward. Record penalties/rewards in perf_adjustment_bp (Rule 11).</t>
        </r>
      </text>
    </comment>
    <comment ref="Y1" authorId="0">
      <text>
        <r>
          <rPr>
            <sz val="10"/>
            <rFont val="Arial"/>
            <family val="2"/>
          </rPr>
          <t xml:space="preserve">Performance adjustment in basis points. Penalty is negative: a 20bp cut = -20. Blank if none.</t>
        </r>
      </text>
    </comment>
    <comment ref="AE1" authorId="0">
      <text>
        <r>
          <rPr>
            <sz val="10"/>
            <rFont val="Arial"/>
            <family val="2"/>
          </rPr>
          <t xml:space="preserve">Collected separately, the SAME way for every case (e.g., RRA average authorized ROE for the half-year before the order). Not what the order says — that goes in nat_avg_value_cited.</t>
        </r>
      </text>
    </comment>
    <comment ref="AF1" authorId="0">
      <text>
        <r>
          <rPr>
            <sz val="10"/>
            <rFont val="Arial"/>
            <family val="2"/>
          </rPr>
          <t xml:space="preserve">10-year Treasury yield on the order date, from FRED (series DGS10). Store as a fraction: 4.25% = 0.0425.</t>
        </r>
      </text>
    </comment>
    <comment ref="AH1" authorId="0">
      <text>
        <r>
          <rPr>
            <sz val="10"/>
            <rFont val="Arial"/>
            <family val="2"/>
          </rPr>
          <t xml:space="preserve">Y if a state statute or rule directs the commission to benchmark against industry norms (e.g., RI). Check once per state; record the citation in notes.</t>
        </r>
      </text>
    </comment>
    <comment ref="AI1" authorId="0">
      <text>
        <r>
          <rPr>
            <sz val="10"/>
            <rFont val="Arial"/>
            <family val="2"/>
          </rPr>
          <t xml:space="preserve">The code the commission presents as determining its number. One code.</t>
        </r>
      </text>
    </comment>
    <comment ref="AJ1" authorId="0">
      <text>
        <r>
          <rPr>
            <sz val="10"/>
            <rFont val="Arial"/>
            <family val="2"/>
          </rPr>
          <t xml:space="preserve">Y only if NO commission-analysis passage links the chosen number to evidence, a method, or a benchmark (Rule 6).</t>
        </r>
      </text>
    </comment>
    <comment ref="AP1" authorId="0">
      <text>
        <r>
          <rPr>
            <sz val="10"/>
            <rFont val="Arial"/>
            <family val="2"/>
          </rPr>
          <t xml:space="preserve">Average of requested, staff, advocate, and other intervenor recommendations that are present.</t>
        </r>
      </text>
    </comment>
    <comment ref="AQ1" authorId="0">
      <text>
        <r>
          <rPr>
            <sz val="10"/>
            <rFont val="Arial"/>
            <family val="2"/>
          </rPr>
          <t xml:space="preserve">0 = award equals advocate's rec; 1 = award equals utility's request; 0.5 = exact midpoint.</t>
        </r>
      </text>
    </comment>
    <comment ref="AT1" authorId="0">
      <text>
        <r>
          <rPr>
            <sz val="10"/>
            <rFont val="Arial"/>
            <family val="2"/>
          </rPr>
          <t xml:space="preserve">Is the award closer to the national benchmark or to the average of party recommendations? Descriptive only in the pilot.</t>
        </r>
      </text>
    </comment>
    <comment ref="AX1" authorId="0">
      <text>
        <r>
          <rPr>
            <sz val="10"/>
            <rFont val="Arial"/>
            <family val="2"/>
          </rPr>
          <t xml:space="preserve">Where the award sits within the commission's own stated range: 0 = bottom, 1 = top.</t>
        </r>
      </text>
    </comment>
    <comment ref="BA1" authorId="0">
      <text>
        <r>
          <rPr>
            <sz val="10"/>
            <rFont val="Arial"/>
            <family val="2"/>
          </rPr>
          <t xml:space="preserve">Which reference point the base award is closest to: party midpoint, national average, prior award, or ALJ. Needs at least 2 available.</t>
        </r>
      </text>
    </comment>
    <comment ref="BC1" authorId="0">
      <text>
        <r>
          <rPr>
            <sz val="10"/>
            <rFont val="Arial"/>
            <family val="2"/>
          </rPr>
          <t xml:space="preserve">Change in 10-yr Treasury between the prior order and this one. Needed later for H2 (pass-through).</t>
        </r>
      </text>
    </comment>
    <comment ref="BD1" authorId="0">
      <text>
        <r>
          <rPr>
            <sz val="10"/>
            <rFont val="Arial"/>
            <family val="2"/>
          </rPr>
          <t xml:space="preserve">Final request minus initial request. Negative = the utility lowered its ask during the case.</t>
        </r>
      </text>
    </comment>
    <comment ref="BE1" authorId="0">
      <text>
        <r>
          <rPr>
            <sz val="10"/>
            <rFont val="Arial"/>
            <family val="2"/>
          </rPr>
          <t xml:space="preserve">Pre (2019-21) = low-rate era; Transition (2022) = rates rising; Post (2023-) = high-rate era. Sampling rule needs 5+ orders in Pre and 5+ in Post.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(PEER+OWN+GRAD) / (PEER+OWN+GRAD+MKT) among commission-analysis passages. 0 = only market reasoning; 1 = only reference-point reasoning.</t>
        </r>
      </text>
    </comment>
  </commentList>
</comments>
</file>

<file path=xl/sharedStrings.xml><?xml version="1.0" encoding="utf-8"?>
<sst xmlns="http://schemas.openxmlformats.org/spreadsheetml/2006/main" count="318" uniqueCount="279">
  <si>
    <t xml:space="preserve">Anchored Returns — Pilot Coding Sheet</t>
  </si>
  <si>
    <t xml:space="preserve">Version 0.1.2. Companion to Anchored_Returns_Codebook_v0.1.2.docx. Read the codebook before coding.</t>
  </si>
  <si>
    <t xml:space="preserve">SHEETS</t>
  </si>
  <si>
    <t xml:space="preserve">Cases</t>
  </si>
  <si>
    <t xml:space="preserve">One row per order: metadata and every party's ROE number. Derived measures compute automatically.</t>
  </si>
  <si>
    <t xml:space="preserve">Passages</t>
  </si>
  <si>
    <t xml:space="preserve">One row per paragraph of the ROE section. Tag section, apply every code that fits (0/1), pick one primary code and a stance.</t>
  </si>
  <si>
    <t xml:space="preserve">Case_Codes</t>
  </si>
  <si>
    <t xml:space="preserve">Automatic. Counts codes per order, using Commission analysis passages only.</t>
  </si>
  <si>
    <t xml:space="preserve">Reliability</t>
  </si>
  <si>
    <t xml:space="preserve">Enter re-codes (or a second coder) in long format; kappa per code computes automatically.</t>
  </si>
  <si>
    <t xml:space="preserve">Summary</t>
  </si>
  <si>
    <t xml:space="preserve">Automatic. Pilot-level feasibility and descriptive statistics.</t>
  </si>
  <si>
    <t xml:space="preserve">Lists</t>
  </si>
  <si>
    <t xml:space="preserve">Dropdown values. Edit here if the codebook changes.</t>
  </si>
  <si>
    <t xml:space="preserve">COLOR KEY</t>
  </si>
  <si>
    <t xml:space="preserve">Navy header</t>
  </si>
  <si>
    <t xml:space="preserve">Input column — you fill these.</t>
  </si>
  <si>
    <t xml:space="preserve">Grey header / grey cells</t>
  </si>
  <si>
    <t xml:space="preserve">Formula — do not type over.</t>
  </si>
  <si>
    <t xml:space="preserve">Yellow row</t>
  </si>
  <si>
    <t xml:space="preserve">Example row (EX-01). Shows format. Excluded from Summary. Its numbers come from news sources and must be verified against the order.</t>
  </si>
  <si>
    <t xml:space="preserve">CONVENTIONS</t>
  </si>
  <si>
    <t xml:space="preserve">Percentages</t>
  </si>
  <si>
    <t xml:space="preserve">Type as percentages (9.5%) or fractions (0.095). Never as 9.5 — that becomes 950%.</t>
  </si>
  <si>
    <t xml:space="preserve">Blanks</t>
  </si>
  <si>
    <t xml:space="preserve">Leave a field blank if the order does not state it. Never fill from a secondary source (Codebook Rule 8).</t>
  </si>
  <si>
    <t xml:space="preserve">Case IDs</t>
  </si>
  <si>
    <t xml:space="preserve">P01–P15 are pre-filled. Passage IDs: case_id + 3-digit number, e.g. P01-001.</t>
  </si>
  <si>
    <t xml:space="preserve">Header comments</t>
  </si>
  <si>
    <t xml:space="preserve">Hover over a header with a red corner for its definition.</t>
  </si>
  <si>
    <t xml:space="preserve">WORKFLOW PER ORDER</t>
  </si>
  <si>
    <t xml:space="preserve">1</t>
  </si>
  <si>
    <t xml:space="preserve">Locate the ROE section; fill Cases metadata and all numeric fields from the order.</t>
  </si>
  <si>
    <t xml:space="preserve">2</t>
  </si>
  <si>
    <t xml:space="preserve">Read the full ROE section once without coding.</t>
  </si>
  <si>
    <t xml:space="preserve">3</t>
  </si>
  <si>
    <t xml:space="preserve">Enter each paragraph in Passages with its section. Split paragraphs where the commission's own voice begins.</t>
  </si>
  <si>
    <t xml:space="preserve">4</t>
  </si>
  <si>
    <t xml:space="preserve">Code each passage; choose primary code and stance.</t>
  </si>
  <si>
    <t xml:space="preserve">5</t>
  </si>
  <si>
    <t xml:space="preserve">Set decisive_rationale and conclusory_flag in Cases.</t>
  </si>
  <si>
    <t xml:space="preserve">6</t>
  </si>
  <si>
    <t xml:space="preserve">Record minutes spent and anything confusing in notes.</t>
  </si>
  <si>
    <t xml:space="preserve">7</t>
  </si>
  <si>
    <t xml:space="preserve">After five orders: wait 10–14 days, re-code them blind, enter both in Reliability.</t>
  </si>
  <si>
    <t xml:space="preserve">INTEGRITY RULES</t>
  </si>
  <si>
    <t xml:space="preserve">Hide derived columns</t>
  </si>
  <si>
    <t xml:space="preserve">Select the grey formula columns in Cases and hide them (right-click &gt; Hide) until all 15 orders are coded. Code reasoning without seeing where the award lands.</t>
  </si>
  <si>
    <t xml:space="preserve">Practice orders</t>
  </si>
  <si>
    <t xml:space="preserve">Practise on orders OUTSIDE the sample (e.g., before 2019) in a separate copy of this file. Never practise on sample orders.</t>
  </si>
  <si>
    <t xml:space="preserve">Base vs. final ROE</t>
  </si>
  <si>
    <t xml:space="preserve">awarded_roe is the base determination. Penalties/rewards go in perf_adjustment_bp. Position measures use the base.</t>
  </si>
  <si>
    <t xml:space="preserve">case_id</t>
  </si>
  <si>
    <t xml:space="preserve">sample_status</t>
  </si>
  <si>
    <t xml:space="preserve">state</t>
  </si>
  <si>
    <t xml:space="preserve">commission</t>
  </si>
  <si>
    <t xml:space="preserve">docket</t>
  </si>
  <si>
    <t xml:space="preserve">utility</t>
  </si>
  <si>
    <t xml:space="preserve">service</t>
  </si>
  <si>
    <t xml:space="preserve">segment</t>
  </si>
  <si>
    <t xml:space="preserve">decision_type</t>
  </si>
  <si>
    <t xml:space="preserve">open_meeting_date</t>
  </si>
  <si>
    <t xml:space="preserve">order_date</t>
  </si>
  <si>
    <t xml:space="preserve">order_url</t>
  </si>
  <si>
    <t xml:space="preserve">roe_section_pages</t>
  </si>
  <si>
    <t xml:space="preserve">requested_roe_initial</t>
  </si>
  <si>
    <t xml:space="preserve">requested_roe</t>
  </si>
  <si>
    <t xml:space="preserve">utility_witness_low</t>
  </si>
  <si>
    <t xml:space="preserve">utility_witness_high</t>
  </si>
  <si>
    <t xml:space="preserve">staff_rec</t>
  </si>
  <si>
    <t xml:space="preserve">advocate_rec</t>
  </si>
  <si>
    <t xml:space="preserve">other_intervenor_rec</t>
  </si>
  <si>
    <t xml:space="preserve">alj_rec</t>
  </si>
  <si>
    <t xml:space="preserve">commission_range_low</t>
  </si>
  <si>
    <t xml:space="preserve">commission_range_high</t>
  </si>
  <si>
    <t xml:space="preserve">awarded_roe</t>
  </si>
  <si>
    <t xml:space="preserve">perf_adjustment_bp</t>
  </si>
  <si>
    <t xml:space="preserve">prior_authorized_roe</t>
  </si>
  <si>
    <t xml:space="preserve">prior_order_date</t>
  </si>
  <si>
    <t xml:space="preserve">ust10_at_prior_order</t>
  </si>
  <si>
    <t xml:space="preserve">nat_avg_cited_in_order</t>
  </si>
  <si>
    <t xml:space="preserve">nat_avg_value_cited</t>
  </si>
  <si>
    <t xml:space="preserve">nat_avg_benchmark</t>
  </si>
  <si>
    <t xml:space="preserve">ust10_at_order</t>
  </si>
  <si>
    <t xml:space="preserve">equity_ratio_awarded</t>
  </si>
  <si>
    <t xml:space="preserve">statutory_peer_mandate</t>
  </si>
  <si>
    <t xml:space="preserve">decisive_rationale</t>
  </si>
  <si>
    <t xml:space="preserve">conclusory_flag</t>
  </si>
  <si>
    <t xml:space="preserve">commissioner_selection</t>
  </si>
  <si>
    <t xml:space="preserve">coder</t>
  </si>
  <si>
    <t xml:space="preserve">date_coded</t>
  </si>
  <si>
    <t xml:space="preserve">minutes_spent</t>
  </si>
  <si>
    <t xml:space="preserve">sources_notes</t>
  </si>
  <si>
    <t xml:space="preserve">record_midpoint</t>
  </si>
  <si>
    <t xml:space="preserve">split_position</t>
  </si>
  <si>
    <t xml:space="preserve">dist_to_midpoint</t>
  </si>
  <si>
    <t xml:space="preserve">dist_to_nat_avg</t>
  </si>
  <si>
    <t xml:space="preserve">closer_to</t>
  </si>
  <si>
    <t xml:space="preserve">change_vs_prior</t>
  </si>
  <si>
    <t xml:space="preserve">premium_over_ust10</t>
  </si>
  <si>
    <t xml:space="preserve">awarded_roe_final</t>
  </si>
  <si>
    <t xml:space="preserve">position_in_range</t>
  </si>
  <si>
    <t xml:space="preserve">dist_to_prior</t>
  </si>
  <si>
    <t xml:space="preserve">dist_to_alj</t>
  </si>
  <si>
    <t xml:space="preserve">nearest_reference</t>
  </si>
  <si>
    <t xml:space="preserve">months_since_prior</t>
  </si>
  <si>
    <t xml:space="preserve">delta_ust10_since_prior</t>
  </si>
  <si>
    <t xml:space="preserve">request_revision</t>
  </si>
  <si>
    <t xml:space="preserve">rate_regime</t>
  </si>
  <si>
    <t xml:space="preserve">EX-01</t>
  </si>
  <si>
    <t xml:space="preserve">Included by design</t>
  </si>
  <si>
    <t xml:space="preserve">NH</t>
  </si>
  <si>
    <t xml:space="preserve">NH Public Utilities Commission</t>
  </si>
  <si>
    <t xml:space="preserve">DE 24-070</t>
  </si>
  <si>
    <t xml:space="preserve">Public Service Co. of NH d/b/a Eversource Energy</t>
  </si>
  <si>
    <t xml:space="preserve">Electric</t>
  </si>
  <si>
    <t xml:space="preserve">Distribution</t>
  </si>
  <si>
    <t xml:space="preserve">Fully litigated</t>
  </si>
  <si>
    <t xml:space="preserve">EXAMPLE</t>
  </si>
  <si>
    <t xml:space="preserve">EXAMPLE ROW — values from secondary sources, NOT from the order. Verify every number against the order before use (Rule 8). Requested 10.3% (lowered from 10.8%) and awarded 9.5%: NH OCA and NH Bulletin, Jul 2025. Advocate 8.13%: NH Bulletin (OCA cites 8.1%). Utility witness range 10.30–11.30%: InDepthNH, Jul 2025. Decision type: OCA described Order No. 28,170 (Jul 25, 2025) as the first fully contested resolution in many years. Prior rate case: DE 19-057 — get prior ROE and date from that order. National benchmark 9.68% = RRA average authorized electric ROE, H1 2025, excluding riders. Staff rec, ALJ rec, range, prior ROE, UST10: to collect.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</si>
  <si>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</si>
  <si>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</si>
  <si>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</si>
  <si>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</si>
  <si>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</si>
  <si>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</si>
  <si>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</si>
  <si>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</si>
  <si>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</si>
  <si>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</si>
  <si>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</si>
  <si>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</si>
  <si>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</si>
  <si>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</si>
  <si>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</si>
  <si>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passage_id</t>
  </si>
  <si>
    <t xml:space="preserve">page_para</t>
  </si>
  <si>
    <t xml:space="preserve">section</t>
  </si>
  <si>
    <t xml:space="preserve">excerpt</t>
  </si>
  <si>
    <t xml:space="preserve">MKT</t>
  </si>
  <si>
    <t xml:space="preserve">method</t>
  </si>
  <si>
    <t xml:space="preserve">PEER</t>
  </si>
  <si>
    <t xml:space="preserve">OWN</t>
  </si>
  <si>
    <t xml:space="preserve">GRAD</t>
  </si>
  <si>
    <t xml:space="preserve">LAW</t>
  </si>
  <si>
    <t xml:space="preserve">CAP</t>
  </si>
  <si>
    <t xml:space="preserve">RISK</t>
  </si>
  <si>
    <t xml:space="preserve">AFF</t>
  </si>
  <si>
    <t xml:space="preserve">PERF</t>
  </si>
  <si>
    <t xml:space="preserve">DEF</t>
  </si>
  <si>
    <t xml:space="preserve">CONC</t>
  </si>
  <si>
    <t xml:space="preserve">primary_code</t>
  </si>
  <si>
    <t xml:space="preserve">stance</t>
  </si>
  <si>
    <t xml:space="preserve">notes</t>
  </si>
  <si>
    <t xml:space="preserve">EX-01-001</t>
  </si>
  <si>
    <t xml:space="preserve">p.?/¶?</t>
  </si>
  <si>
    <t xml:space="preserve">Commission analysis</t>
  </si>
  <si>
    <t xml:space="preserve">ILLUSTRATIVE ONLY — constructed text, not from the order. Replace with the actual paragraph: “Having considered the record as a whole, we find that a return on equity of 9.5 percent is just and reasonable.”</t>
  </si>
  <si>
    <t xml:space="preserve">n.a.</t>
  </si>
  <si>
    <t xml:space="preserve">Relied on</t>
  </si>
  <si>
    <t xml:space="preserve">Shows format. CONC here would be provisional until the full analysis is read (Rule 6).</t>
  </si>
  <si>
    <t xml:space="preserve">n_commission_passages</t>
  </si>
  <si>
    <t xml:space="preserve">n_MKT</t>
  </si>
  <si>
    <t xml:space="preserve">n_PEER</t>
  </si>
  <si>
    <t xml:space="preserve">n_OWN</t>
  </si>
  <si>
    <t xml:space="preserve">n_GRAD</t>
  </si>
  <si>
    <t xml:space="preserve">n_LAW</t>
  </si>
  <si>
    <t xml:space="preserve">n_CAP</t>
  </si>
  <si>
    <t xml:space="preserve">n_RISK</t>
  </si>
  <si>
    <t xml:space="preserve">n_AFF</t>
  </si>
  <si>
    <t xml:space="preserve">n_PERF</t>
  </si>
  <si>
    <t xml:space="preserve">n_DEF</t>
  </si>
  <si>
    <t xml:space="preserve">n_CONC</t>
  </si>
  <si>
    <t xml:space="preserve">anchor_present</t>
  </si>
  <si>
    <t xml:space="preserve">market_present</t>
  </si>
  <si>
    <t xml:space="preserve">anchor_share</t>
  </si>
  <si>
    <t xml:space="preserve">code</t>
  </si>
  <si>
    <t xml:space="preserve">coding_A</t>
  </si>
  <si>
    <t xml:space="preserve">coding_B</t>
  </si>
  <si>
    <t xml:space="preserve">n_pairs</t>
  </si>
  <si>
    <t xml:space="preserve">both_1</t>
  </si>
  <si>
    <t xml:space="preserve">both_0</t>
  </si>
  <si>
    <t xml:space="preserve">A_yes</t>
  </si>
  <si>
    <t xml:space="preserve">B_yes</t>
  </si>
  <si>
    <t xml:space="preserve">observed_agree</t>
  </si>
  <si>
    <t xml:space="preserve">expected_agree</t>
  </si>
  <si>
    <t xml:space="preserve">kappa</t>
  </si>
  <si>
    <t xml:space="preserve">meets_0.70</t>
  </si>
  <si>
    <t xml:space="preserve">One row per passage × code. coding_A = first pass, coding_B = re-code or second coder (0/1). Kappa is blank when a code never varies.</t>
  </si>
  <si>
    <t xml:space="preserve">Pilot summary — pilot rows P01–P15 only (example row excluded)</t>
  </si>
  <si>
    <t xml:space="preserve">FEASIBILITY</t>
  </si>
  <si>
    <t xml:space="preserve">Orders coded (award entered)</t>
  </si>
  <si>
    <t xml:space="preserve">Target: 15</t>
  </si>
  <si>
    <t xml:space="preserve">Fully litigated orders</t>
  </si>
  <si>
    <t xml:space="preserve">Median minutes per order</t>
  </si>
  <si>
    <t xml:space="preserve">Scales the full-study time budget</t>
  </si>
  <si>
    <t xml:space="preserve">Share of orders with advocate recommendation recovered</t>
  </si>
  <si>
    <t xml:space="preserve">DESCRIPTIVE (not a test of the hypothesis)</t>
  </si>
  <si>
    <t xml:space="preserve">Share of orders flagged conclusory</t>
  </si>
  <si>
    <t xml:space="preserve">Rule 6</t>
  </si>
  <si>
    <t xml:space="preserve">Mean split position (0 = advocate, 1 = utility)</t>
  </si>
  <si>
    <t xml:space="preserve">Share of awards closer to national benchmark than record midpoint</t>
  </si>
  <si>
    <t xml:space="preserve">Descriptive preview of H1</t>
  </si>
  <si>
    <t xml:space="preserve">Mean change vs. prior authorized ROE</t>
  </si>
  <si>
    <t xml:space="preserve">Share of orders with any anchor reasoning (PEER/OWN/GRAD)</t>
  </si>
  <si>
    <t xml:space="preserve">Commission analysis only</t>
  </si>
  <si>
    <t xml:space="preserve">Share of orders with any market reasoning (MKT)</t>
  </si>
  <si>
    <t xml:space="preserve">Mean anchor share</t>
  </si>
  <si>
    <t xml:space="preserve">0 = all market, 1 = all reference-point</t>
  </si>
  <si>
    <t xml:space="preserve">BY INTEREST-RATE REGIME (sampling rule needs 5+ Pre and 5+ Post)</t>
  </si>
  <si>
    <t xml:space="preserve">Orders: Pre (2019-21)</t>
  </si>
  <si>
    <t xml:space="preserve">Orders: Transition (2022)</t>
  </si>
  <si>
    <t xml:space="preserve">Allowed, but counts toward neither quota</t>
  </si>
  <si>
    <t xml:space="preserve">Orders: Post (2023-)</t>
  </si>
  <si>
    <t xml:space="preserve">Mean change in 10-yr Treasury since prior order: Post</t>
  </si>
  <si>
    <t xml:space="preserve">How big the shock was for these utilities</t>
  </si>
  <si>
    <t xml:space="preserve">Mean change in ROE vs prior award: Pre</t>
  </si>
  <si>
    <t xml:space="preserve">Mean change in ROE vs prior award: Post</t>
  </si>
  <si>
    <t xml:space="preserve">Compare with the Treasury change above</t>
  </si>
  <si>
    <t xml:space="preserve">Mean split position: Pre</t>
  </si>
  <si>
    <t xml:space="preserve">0 = advocate, 1 = utility</t>
  </si>
  <si>
    <t xml:space="preserve">Mean split position: Post</t>
  </si>
  <si>
    <t xml:space="preserve">Mean request revision (final minus initial ask)</t>
  </si>
  <si>
    <t xml:space="preserve">Negative = utilities lowered asks mid-case</t>
  </si>
  <si>
    <t xml:space="preserve">SHARE OF COMMISSION-ANALYSIS PASSAGES WITH EACH CODE</t>
  </si>
  <si>
    <t xml:space="preserve">   MKT</t>
  </si>
  <si>
    <t xml:space="preserve">   PEER</t>
  </si>
  <si>
    <t xml:space="preserve">   OWN</t>
  </si>
  <si>
    <t xml:space="preserve">   GRAD</t>
  </si>
  <si>
    <t xml:space="preserve">   LAW</t>
  </si>
  <si>
    <t xml:space="preserve">   CAP</t>
  </si>
  <si>
    <t xml:space="preserve">   RISK</t>
  </si>
  <si>
    <t xml:space="preserve">   AFF</t>
  </si>
  <si>
    <t xml:space="preserve">   PERF</t>
  </si>
  <si>
    <t xml:space="preserve">   DEF</t>
  </si>
  <si>
    <t xml:space="preserve">   CONC</t>
  </si>
  <si>
    <t xml:space="preserve">State</t>
  </si>
  <si>
    <t xml:space="preserve">Service</t>
  </si>
  <si>
    <t xml:space="preserve">Segment</t>
  </si>
  <si>
    <t xml:space="preserve">Decision</t>
  </si>
  <si>
    <t xml:space="preserve">YN</t>
  </si>
  <si>
    <t xml:space="preserve">Selection</t>
  </si>
  <si>
    <t xml:space="preserve">Section</t>
  </si>
  <si>
    <t xml:space="preserve">Stance</t>
  </si>
  <si>
    <t xml:space="preserve">Method</t>
  </si>
  <si>
    <t xml:space="preserve">Code</t>
  </si>
  <si>
    <t xml:space="preserve">Binary</t>
  </si>
  <si>
    <t xml:space="preserve">SampleStatus</t>
  </si>
  <si>
    <t xml:space="preserve">CT</t>
  </si>
  <si>
    <t xml:space="preserve">Y</t>
  </si>
  <si>
    <t xml:space="preserve">Appointed</t>
  </si>
  <si>
    <t xml:space="preserve">Positions of parties</t>
  </si>
  <si>
    <t xml:space="preserve">DCF</t>
  </si>
  <si>
    <t xml:space="preserve">Sample</t>
  </si>
  <si>
    <t xml:space="preserve">MA</t>
  </si>
  <si>
    <t xml:space="preserve">Gas</t>
  </si>
  <si>
    <t xml:space="preserve">Vertically integrated</t>
  </si>
  <si>
    <t xml:space="preserve">Partial settlement</t>
  </si>
  <si>
    <t xml:space="preserve">N</t>
  </si>
  <si>
    <t xml:space="preserve">Elected</t>
  </si>
  <si>
    <t xml:space="preserve">ALJ recommendation</t>
  </si>
  <si>
    <t xml:space="preserve">Considered</t>
  </si>
  <si>
    <t xml:space="preserve">CAPM/ECAPM</t>
  </si>
  <si>
    <t xml:space="preserve">ME</t>
  </si>
  <si>
    <t xml:space="preserve">Combined</t>
  </si>
  <si>
    <t xml:space="preserve">Transmission</t>
  </si>
  <si>
    <t xml:space="preserve">Full settlement</t>
  </si>
  <si>
    <t xml:space="preserve">Rejected</t>
  </si>
  <si>
    <t xml:space="preserve">Risk premium</t>
  </si>
  <si>
    <t xml:space="preserve">Substitute (settled)</t>
  </si>
  <si>
    <t xml:space="preserve">Gas LDC</t>
  </si>
  <si>
    <t xml:space="preserve">Other</t>
  </si>
  <si>
    <t xml:space="preserve">Summarized only</t>
  </si>
  <si>
    <t xml:space="preserve">Expected earnings</t>
  </si>
  <si>
    <t xml:space="preserve">RI</t>
  </si>
  <si>
    <t xml:space="preserve">Multiple</t>
  </si>
  <si>
    <t xml:space="preserve">VT</t>
  </si>
  <si>
    <t xml:space="preserve">Unspecified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</si>
</sst>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0%"/>
    <numFmt numFmtId="167" formatCode="0"/>
    <numFmt numFmtId="168" formatCode="0.00"/>
    <numFmt numFmtId="169" formatCode="0.0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A6B7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9"/>
      <color rgb="FF5A6B7B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9"/>
      <color rgb="FF5A6B7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6B7B8A"/>
        <bgColor rgb="FF5A6B7B"/>
      </patternFill>
    </fill>
    <fill>
      <patternFill patternType="solid">
        <fgColor rgb="FFFFF6DA"/>
        <bgColor rgb="FFEEF1F4"/>
      </patternFill>
    </fill>
    <fill>
      <patternFill patternType="solid">
        <fgColor rgb="FFEEF1F4"/>
        <bgColor rgb="FFFFF6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B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B8A"/>
      <rgbColor rgb="FF9999FF"/>
      <rgbColor rgb="FF993366"/>
      <rgbColor rgb="FFFFF6DA"/>
      <rgbColor rgb="FFEEF1F4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B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6" t="s">
        <v>3</v>
      </c>
      <c r="B5" s="7" t="s">
        <v>4</v>
      </c>
    </row>
    <row r="6" customFormat="false" ht="23.85" hidden="false" customHeight="false" outlineLevel="0" collapsed="false">
      <c r="A6" s="6" t="s">
        <v>5</v>
      </c>
      <c r="B6" s="7" t="s">
        <v>6</v>
      </c>
    </row>
    <row r="7" customFormat="false" ht="15" hidden="false" customHeight="false" outlineLevel="0" collapsed="false">
      <c r="A7" s="6" t="s">
        <v>7</v>
      </c>
      <c r="B7" s="7" t="s">
        <v>8</v>
      </c>
    </row>
    <row r="8" customFormat="false" ht="15" hidden="false" customHeight="false" outlineLevel="0" collapsed="false">
      <c r="A8" s="6" t="s">
        <v>9</v>
      </c>
      <c r="B8" s="7" t="s">
        <v>10</v>
      </c>
    </row>
    <row r="9" customFormat="false" ht="15" hidden="false" customHeight="false" outlineLevel="0" collapsed="false">
      <c r="A9" s="6" t="s">
        <v>11</v>
      </c>
      <c r="B9" s="7" t="s">
        <v>12</v>
      </c>
    </row>
    <row r="10" customFormat="false" ht="15" hidden="false" customHeight="false" outlineLevel="0" collapsed="false">
      <c r="A10" s="6" t="s">
        <v>13</v>
      </c>
      <c r="B10" s="7" t="s">
        <v>14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15</v>
      </c>
      <c r="B12" s="5"/>
    </row>
    <row r="13" customFormat="false" ht="15" hidden="false" customHeight="false" outlineLevel="0" collapsed="false">
      <c r="A13" s="6" t="s">
        <v>16</v>
      </c>
      <c r="B13" s="7" t="s">
        <v>17</v>
      </c>
    </row>
    <row r="14" customFormat="false" ht="15" hidden="false" customHeight="false" outlineLevel="0" collapsed="false">
      <c r="A14" s="6" t="s">
        <v>18</v>
      </c>
      <c r="B14" s="7" t="s">
        <v>19</v>
      </c>
    </row>
    <row r="15" customFormat="false" ht="23.85" hidden="false" customHeight="false" outlineLevel="0" collapsed="false">
      <c r="A15" s="6" t="s">
        <v>20</v>
      </c>
      <c r="B15" s="7" t="s">
        <v>21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22</v>
      </c>
      <c r="B17" s="5"/>
    </row>
    <row r="18" customFormat="false" ht="15" hidden="false" customHeight="false" outlineLevel="0" collapsed="false">
      <c r="A18" s="6" t="s">
        <v>23</v>
      </c>
      <c r="B18" s="7" t="s">
        <v>24</v>
      </c>
    </row>
    <row r="19" customFormat="false" ht="15" hidden="false" customHeight="false" outlineLevel="0" collapsed="false">
      <c r="A19" s="6" t="s">
        <v>25</v>
      </c>
      <c r="B19" s="7" t="s">
        <v>26</v>
      </c>
    </row>
    <row r="20" customFormat="false" ht="15" hidden="false" customHeight="false" outlineLevel="0" collapsed="false">
      <c r="A20" s="6" t="s">
        <v>27</v>
      </c>
      <c r="B20" s="7" t="s">
        <v>28</v>
      </c>
    </row>
    <row r="21" customFormat="false" ht="15" hidden="false" customHeight="false" outlineLevel="0" collapsed="false">
      <c r="A21" s="6" t="s">
        <v>29</v>
      </c>
      <c r="B21" s="7" t="s">
        <v>30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4" t="s">
        <v>31</v>
      </c>
      <c r="B23" s="5"/>
    </row>
    <row r="24" customFormat="false" ht="15" hidden="false" customHeight="false" outlineLevel="0" collapsed="false">
      <c r="A24" s="6" t="s">
        <v>32</v>
      </c>
      <c r="B24" s="7" t="s">
        <v>33</v>
      </c>
    </row>
    <row r="25" customFormat="false" ht="15" hidden="false" customHeight="false" outlineLevel="0" collapsed="false">
      <c r="A25" s="6" t="s">
        <v>34</v>
      </c>
      <c r="B25" s="7" t="s">
        <v>35</v>
      </c>
    </row>
    <row r="26" customFormat="false" ht="15" hidden="false" customHeight="false" outlineLevel="0" collapsed="false">
      <c r="A26" s="6" t="s">
        <v>36</v>
      </c>
      <c r="B26" s="7" t="s">
        <v>37</v>
      </c>
    </row>
    <row r="27" customFormat="false" ht="15" hidden="false" customHeight="false" outlineLevel="0" collapsed="false">
      <c r="A27" s="6" t="s">
        <v>38</v>
      </c>
      <c r="B27" s="7" t="s">
        <v>39</v>
      </c>
    </row>
    <row r="28" customFormat="false" ht="15" hidden="false" customHeight="false" outlineLevel="0" collapsed="false">
      <c r="A28" s="6" t="s">
        <v>40</v>
      </c>
      <c r="B28" s="7" t="s">
        <v>41</v>
      </c>
    </row>
    <row r="29" customFormat="false" ht="15" hidden="false" customHeight="false" outlineLevel="0" collapsed="false">
      <c r="A29" s="6" t="s">
        <v>42</v>
      </c>
      <c r="B29" s="7" t="s">
        <v>43</v>
      </c>
    </row>
    <row r="30" customFormat="false" ht="15" hidden="false" customHeight="false" outlineLevel="0" collapsed="false">
      <c r="A30" s="6" t="s">
        <v>44</v>
      </c>
      <c r="B30" s="7" t="s">
        <v>45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4" t="s">
        <v>46</v>
      </c>
      <c r="B32" s="5"/>
    </row>
    <row r="33" customFormat="false" ht="23.85" hidden="false" customHeight="false" outlineLevel="0" collapsed="false">
      <c r="A33" s="6" t="s">
        <v>47</v>
      </c>
      <c r="B33" s="7" t="s">
        <v>48</v>
      </c>
    </row>
    <row r="34" customFormat="false" ht="15" hidden="false" customHeight="false" outlineLevel="0" collapsed="false">
      <c r="A34" s="6" t="s">
        <v>49</v>
      </c>
      <c r="B34" s="7" t="s">
        <v>50</v>
      </c>
    </row>
    <row r="35" customFormat="false" ht="15" hidden="false" customHeight="false" outlineLevel="0" collapsed="false">
      <c r="A35" s="6" t="s">
        <v>51</v>
      </c>
      <c r="B35" s="7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22"/>
    <col collapsed="false" customWidth="true" hidden="false" outlineLevel="0" max="14" min="13" style="0" width="12"/>
    <col collapsed="false" customWidth="true" hidden="false" outlineLevel="0" max="17" min="15" style="0" width="11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3" min="22" style="0" width="12"/>
    <col collapsed="false" customWidth="true" hidden="false" outlineLevel="0" max="25" min="24" style="0" width="11"/>
    <col collapsed="false" customWidth="true" hidden="false" outlineLevel="0" max="28" min="26" style="0" width="12"/>
    <col collapsed="false" customWidth="true" hidden="false" outlineLevel="0" max="30" min="29" style="0" width="11"/>
    <col collapsed="false" customWidth="true" hidden="false" outlineLevel="0" max="31" min="31" style="0" width="12"/>
    <col collapsed="false" customWidth="true" hidden="false" outlineLevel="0" max="33" min="32" style="0" width="11"/>
    <col collapsed="false" customWidth="true" hidden="false" outlineLevel="0" max="35" min="34" style="0" width="12"/>
    <col collapsed="false" customWidth="true" hidden="false" outlineLevel="0" max="36" min="36" style="0" width="10"/>
    <col collapsed="false" customWidth="true" hidden="false" outlineLevel="0" max="37" min="37" style="0" width="13"/>
    <col collapsed="false" customWidth="true" hidden="false" outlineLevel="0" max="38" min="38" style="0" width="10"/>
    <col collapsed="false" customWidth="true" hidden="false" outlineLevel="0" max="39" min="39" style="0" width="12"/>
    <col collapsed="false" customWidth="true" hidden="false" outlineLevel="0" max="40" min="40" style="0" width="10"/>
    <col collapsed="false" customWidth="true" hidden="false" outlineLevel="0" max="41" min="41" style="0" width="60"/>
    <col collapsed="false" customWidth="true" hidden="false" outlineLevel="0" max="45" min="42" style="0" width="11"/>
    <col collapsed="false" customWidth="true" hidden="false" outlineLevel="0" max="46" min="46" style="0" width="16"/>
    <col collapsed="false" customWidth="true" hidden="false" outlineLevel="0" max="47" min="47" style="0" width="11"/>
    <col collapsed="false" customWidth="true" hidden="false" outlineLevel="0" max="49" min="48" style="0" width="12"/>
    <col collapsed="false" customWidth="true" hidden="false" outlineLevel="0" max="52" min="50" style="0" width="11"/>
    <col collapsed="false" customWidth="true" hidden="false" outlineLevel="0" max="53" min="53" style="0" width="16"/>
    <col collapsed="false" customWidth="true" hidden="false" outlineLevel="0" max="54" min="54" style="0" width="11"/>
    <col collapsed="false" customWidth="true" hidden="false" outlineLevel="0" max="55" min="55" style="0" width="12"/>
    <col collapsed="false" customWidth="true" hidden="false" outlineLevel="0" max="56" min="56" style="0" width="11"/>
    <col collapsed="false" customWidth="true" hidden="false" outlineLevel="0" max="57" min="57" style="0" width="17"/>
  </cols>
  <sheetData>
    <row r="1" customFormat="false" ht="42" hidden="false" customHeight="true" outlineLevel="0" collapsed="false">
      <c r="A1" s="8" t="s">
        <v>53</v>
      </c>
      <c r="B1" s="8" t="s">
        <v>54</v>
      </c>
      <c r="C1" s="8" t="s">
        <v>55</v>
      </c>
      <c r="D1" s="8" t="s">
        <v>56</v>
      </c>
      <c r="E1" s="8" t="s">
        <v>57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63</v>
      </c>
      <c r="L1" s="8" t="s">
        <v>64</v>
      </c>
      <c r="M1" s="8" t="s">
        <v>65</v>
      </c>
      <c r="N1" s="8" t="s">
        <v>66</v>
      </c>
      <c r="O1" s="8" t="s">
        <v>67</v>
      </c>
      <c r="P1" s="8" t="s">
        <v>68</v>
      </c>
      <c r="Q1" s="8" t="s">
        <v>69</v>
      </c>
      <c r="R1" s="8" t="s">
        <v>70</v>
      </c>
      <c r="S1" s="8" t="s">
        <v>71</v>
      </c>
      <c r="T1" s="8" t="s">
        <v>72</v>
      </c>
      <c r="U1" s="8" t="s">
        <v>73</v>
      </c>
      <c r="V1" s="8" t="s">
        <v>74</v>
      </c>
      <c r="W1" s="8" t="s">
        <v>75</v>
      </c>
      <c r="X1" s="8" t="s">
        <v>76</v>
      </c>
      <c r="Y1" s="8" t="s">
        <v>77</v>
      </c>
      <c r="Z1" s="8" t="s">
        <v>78</v>
      </c>
      <c r="AA1" s="8" t="s">
        <v>79</v>
      </c>
      <c r="AB1" s="8" t="s">
        <v>80</v>
      </c>
      <c r="AC1" s="8" t="s">
        <v>81</v>
      </c>
      <c r="AD1" s="8" t="s">
        <v>82</v>
      </c>
      <c r="AE1" s="8" t="s">
        <v>83</v>
      </c>
      <c r="AF1" s="8" t="s">
        <v>84</v>
      </c>
      <c r="AG1" s="8" t="s">
        <v>85</v>
      </c>
      <c r="AH1" s="8" t="s">
        <v>86</v>
      </c>
      <c r="AI1" s="8" t="s">
        <v>87</v>
      </c>
      <c r="AJ1" s="8" t="s">
        <v>88</v>
      </c>
      <c r="AK1" s="8" t="s">
        <v>89</v>
      </c>
      <c r="AL1" s="8" t="s">
        <v>90</v>
      </c>
      <c r="AM1" s="8" t="s">
        <v>91</v>
      </c>
      <c r="AN1" s="8" t="s">
        <v>92</v>
      </c>
      <c r="AO1" s="8" t="s">
        <v>93</v>
      </c>
      <c r="AP1" s="9" t="s">
        <v>94</v>
      </c>
      <c r="AQ1" s="9" t="s">
        <v>95</v>
      </c>
      <c r="AR1" s="9" t="s">
        <v>96</v>
      </c>
      <c r="AS1" s="9" t="s">
        <v>97</v>
      </c>
      <c r="AT1" s="9" t="s">
        <v>98</v>
      </c>
      <c r="AU1" s="9" t="s">
        <v>99</v>
      </c>
      <c r="AV1" s="9" t="s">
        <v>100</v>
      </c>
      <c r="AW1" s="9" t="s">
        <v>101</v>
      </c>
      <c r="AX1" s="9" t="s">
        <v>102</v>
      </c>
      <c r="AY1" s="9" t="s">
        <v>103</v>
      </c>
      <c r="AZ1" s="9" t="s">
        <v>104</v>
      </c>
      <c r="BA1" s="9" t="s">
        <v>105</v>
      </c>
      <c r="BB1" s="9" t="s">
        <v>106</v>
      </c>
      <c r="BC1" s="9" t="s">
        <v>107</v>
      </c>
      <c r="BD1" s="9" t="s">
        <v>108</v>
      </c>
      <c r="BE1" s="9" t="s">
        <v>109</v>
      </c>
    </row>
    <row r="2" customFormat="false" ht="105" hidden="false" customHeight="true" outlineLevel="0" collapsed="false">
      <c r="A2" s="10" t="s">
        <v>110</v>
      </c>
      <c r="B2" s="10" t="s">
        <v>111</v>
      </c>
      <c r="C2" s="10" t="s">
        <v>112</v>
      </c>
      <c r="D2" s="10" t="s">
        <v>113</v>
      </c>
      <c r="E2" s="10" t="s">
        <v>114</v>
      </c>
      <c r="F2" s="10" t="s">
        <v>115</v>
      </c>
      <c r="G2" s="10" t="s">
        <v>116</v>
      </c>
      <c r="H2" s="10" t="s">
        <v>117</v>
      </c>
      <c r="I2" s="10" t="s">
        <v>118</v>
      </c>
      <c r="J2" s="11"/>
      <c r="K2" s="11" t="n">
        <v>45863</v>
      </c>
      <c r="L2" s="10"/>
      <c r="M2" s="10"/>
      <c r="N2" s="12" t="n">
        <v>0.108</v>
      </c>
      <c r="O2" s="12" t="n">
        <v>0.103</v>
      </c>
      <c r="P2" s="12" t="n">
        <v>0.103</v>
      </c>
      <c r="Q2" s="12" t="n">
        <v>0.113</v>
      </c>
      <c r="R2" s="12"/>
      <c r="S2" s="12" t="n">
        <v>0.0813</v>
      </c>
      <c r="T2" s="12"/>
      <c r="U2" s="12"/>
      <c r="V2" s="12"/>
      <c r="W2" s="12"/>
      <c r="X2" s="12" t="n">
        <v>0.095</v>
      </c>
      <c r="Y2" s="13"/>
      <c r="Z2" s="12"/>
      <c r="AA2" s="11"/>
      <c r="AB2" s="12"/>
      <c r="AC2" s="10"/>
      <c r="AD2" s="12"/>
      <c r="AE2" s="12" t="n">
        <v>0.0968</v>
      </c>
      <c r="AF2" s="12"/>
      <c r="AG2" s="12"/>
      <c r="AH2" s="10"/>
      <c r="AI2" s="10"/>
      <c r="AJ2" s="10"/>
      <c r="AK2" s="10"/>
      <c r="AL2" s="10" t="s">
        <v>119</v>
      </c>
      <c r="AM2" s="11"/>
      <c r="AN2" s="10"/>
      <c r="AO2" s="10" t="s">
        <v>120</v>
      </c>
      <c r="AP2" s="14" t="n">
        <f aca="false">IF(COUNT(O2,R2:T2)=0,"",AVERAGE(O2,R2:T2))</f>
        <v>0.09215</v>
      </c>
      <c r="AQ2" s="15" t="n">
        <f aca="false">IF(OR(X2="",O2="",S2="",O2=S2),"",(X2-S2)/(O2-S2))</f>
        <v>0.631336405529954</v>
      </c>
      <c r="AR2" s="14" t="n">
        <f aca="false">IF(OR(X2="",AP2=""),"",ABS(X2-AP2))</f>
        <v>0.00285000000000001</v>
      </c>
      <c r="AS2" s="14" t="n">
        <f aca="false">IF(OR(X2="",AE2=""),"",ABS(X2-AE2))</f>
        <v>0.0018</v>
      </c>
      <c r="AT2" s="16" t="str">
        <f aca="false">IF(OR(AR2="",AS2=""),"",IF(AS2&lt;AR2,"National avg",IF(AR2&lt;AS2,"Record midpoint","Tie")))</f>
        <v>National avg</v>
      </c>
      <c r="AU2" s="14" t="str">
        <f aca="false">IF(OR(X2="",Z2=""),"",X2-Z2)</f>
        <v/>
      </c>
      <c r="AV2" s="14" t="str">
        <f aca="false">IF(OR(X2="",AF2=""),"",X2-AF2)</f>
        <v/>
      </c>
      <c r="AW2" s="14" t="n">
        <f aca="false">IF(X2="","",X2+IF(Y2="",0,Y2)/10000)</f>
        <v>0.095</v>
      </c>
      <c r="AX2" s="15" t="str">
        <f aca="false">IF(OR(X2="",V2="",W2="",W2=V2),"",(X2-V2)/(W2-V2))</f>
        <v/>
      </c>
      <c r="AY2" s="14" t="str">
        <f aca="false">IF(OR(X2="",Z2=""),"",ABS(X2-Z2))</f>
        <v/>
      </c>
      <c r="AZ2" s="14" t="str">
        <f aca="false">IF(OR(X2="",U2=""),"",ABS(X2-U2))</f>
        <v/>
      </c>
      <c r="BA2" s="16" t="str">
        <f aca="false">IF(COUNT(AR2,AS2,AY2,AZ2)&lt;2,"",IF(AR2=MIN(AR2,AS2,AY2,AZ2),"Record midpoint",IF(AS2=MIN(AR2,AS2,AY2,AZ2),"National avg",IF(AY2=MIN(AR2,AS2,AY2,AZ2),"Prior award","ALJ"))))</f>
        <v>National avg</v>
      </c>
      <c r="BB2" s="17" t="str">
        <f aca="false">IF(OR(K2="",AA2=""),"",(K2-AA2)/30.4375)</f>
        <v/>
      </c>
      <c r="BC2" s="14" t="str">
        <f aca="false">IF(OR(AF2="",AB2=""),"",AF2-AB2)</f>
        <v/>
      </c>
      <c r="BD2" s="14" t="n">
        <f aca="false">IF(OR(O2="",N2=""),"",O2-N2)</f>
        <v>-0.005</v>
      </c>
      <c r="BE2" s="16" t="str">
        <f aca="false">IF(K2="","",IF(K2&lt;DATE(2022,1,1),"Pre (2019-21)",IF(K2&lt;DATE(2023,1,1),"Transition (2022)","Post (2023-)")))</f>
        <v>Post (2023-)</v>
      </c>
    </row>
    <row r="3" customFormat="false" ht="15" hidden="false" customHeight="false" outlineLevel="0" collapsed="false">
      <c r="A3" s="18" t="s">
        <v>121</v>
      </c>
      <c r="B3" s="18"/>
      <c r="C3" s="18"/>
      <c r="D3" s="18"/>
      <c r="E3" s="18"/>
      <c r="F3" s="18"/>
      <c r="G3" s="18"/>
      <c r="H3" s="18"/>
      <c r="I3" s="18"/>
      <c r="J3" s="19"/>
      <c r="K3" s="19"/>
      <c r="L3" s="18"/>
      <c r="M3" s="18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1"/>
      <c r="Z3" s="20"/>
      <c r="AA3" s="19"/>
      <c r="AB3" s="20"/>
      <c r="AC3" s="18"/>
      <c r="AD3" s="20"/>
      <c r="AE3" s="20"/>
      <c r="AF3" s="20"/>
      <c r="AG3" s="20"/>
      <c r="AH3" s="18"/>
      <c r="AI3" s="18"/>
      <c r="AJ3" s="18"/>
      <c r="AK3" s="18"/>
      <c r="AL3" s="18"/>
      <c r="AM3" s="19"/>
      <c r="AN3" s="18"/>
      <c r="AO3" s="18"/>
      <c r="AP3" s="14" t="str">
        <f aca="false">IF(COUNT(O3,R3:T3)=0,"",AVERAGE(O3,R3:T3))</f>
        <v/>
      </c>
      <c r="AQ3" s="15" t="str">
        <f aca="false">IF(OR(X3="",O3="",S3="",O3=S3),"",(X3-S3)/(O3-S3))</f>
        <v/>
      </c>
      <c r="AR3" s="14" t="str">
        <f aca="false">IF(OR(X3="",AP3=""),"",ABS(X3-AP3))</f>
        <v/>
      </c>
      <c r="AS3" s="14" t="str">
        <f aca="false">IF(OR(X3="",AE3=""),"",ABS(X3-AE3))</f>
        <v/>
      </c>
      <c r="AT3" s="16" t="str">
        <f aca="false">IF(OR(AR3="",AS3=""),"",IF(AS3&lt;AR3,"National avg",IF(AR3&lt;AS3,"Record midpoint","Tie")))</f>
        <v/>
      </c>
      <c r="AU3" s="14" t="str">
        <f aca="false">IF(OR(X3="",Z3=""),"",X3-Z3)</f>
        <v/>
      </c>
      <c r="AV3" s="14" t="str">
        <f aca="false">IF(OR(X3="",AF3=""),"",X3-AF3)</f>
        <v/>
      </c>
      <c r="AW3" s="14" t="str">
        <f aca="false">IF(X3="","",X3+IF(Y3="",0,Y3)/10000)</f>
        <v/>
      </c>
      <c r="AX3" s="15" t="str">
        <f aca="false">IF(OR(X3="",V3="",W3="",W3=V3),"",(X3-V3)/(W3-V3))</f>
        <v/>
      </c>
      <c r="AY3" s="14" t="str">
        <f aca="false">IF(OR(X3="",Z3=""),"",ABS(X3-Z3))</f>
        <v/>
      </c>
      <c r="AZ3" s="14" t="str">
        <f aca="false">IF(OR(X3="",U3=""),"",ABS(X3-U3))</f>
        <v/>
      </c>
      <c r="BA3" s="16" t="str">
        <f aca="false">IF(COUNT(AR3,AS3,AY3,AZ3)&lt;2,"",IF(AR3=MIN(AR3,AS3,AY3,AZ3),"Record midpoint",IF(AS3=MIN(AR3,AS3,AY3,AZ3),"National avg",IF(AY3=MIN(AR3,AS3,AY3,AZ3),"Prior award","ALJ"))))</f>
        <v/>
      </c>
      <c r="BB3" s="17" t="str">
        <f aca="false">IF(OR(K3="",AA3=""),"",(K3-AA3)/30.4375)</f>
        <v/>
      </c>
      <c r="BC3" s="14" t="str">
        <f aca="false">IF(OR(AF3="",AB3=""),"",AF3-AB3)</f>
        <v/>
      </c>
      <c r="BD3" s="14" t="str">
        <f aca="false">IF(OR(O3="",N3=""),"",O3-N3)</f>
        <v/>
      </c>
      <c r="BE3" s="16" t="str">
        <f aca="false">IF(K3="","",IF(K3&lt;DATE(2022,1,1),"Pre (2019-21)",IF(K3&lt;DATE(2023,1,1),"Transition (2022)","Post (2023-)")))</f>
        <v/>
      </c>
    </row>
    <row r="4" customFormat="false" ht="15" hidden="false" customHeight="false" outlineLevel="0" collapsed="false">
      <c r="A4" s="18" t="s">
        <v>122</v>
      </c>
      <c r="B4" s="18"/>
      <c r="C4" s="18"/>
      <c r="D4" s="18"/>
      <c r="E4" s="18"/>
      <c r="F4" s="18"/>
      <c r="G4" s="18"/>
      <c r="H4" s="18"/>
      <c r="I4" s="18"/>
      <c r="J4" s="19"/>
      <c r="K4" s="19"/>
      <c r="L4" s="18"/>
      <c r="M4" s="18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  <c r="Z4" s="20"/>
      <c r="AA4" s="19"/>
      <c r="AB4" s="20"/>
      <c r="AC4" s="18"/>
      <c r="AD4" s="20"/>
      <c r="AE4" s="20"/>
      <c r="AF4" s="20"/>
      <c r="AG4" s="20"/>
      <c r="AH4" s="18"/>
      <c r="AI4" s="18"/>
      <c r="AJ4" s="18"/>
      <c r="AK4" s="18"/>
      <c r="AL4" s="18"/>
      <c r="AM4" s="19"/>
      <c r="AN4" s="18"/>
      <c r="AO4" s="18"/>
      <c r="AP4" s="14" t="str">
        <f aca="false">IF(COUNT(O4,R4:T4)=0,"",AVERAGE(O4,R4:T4))</f>
        <v/>
      </c>
      <c r="AQ4" s="15" t="str">
        <f aca="false">IF(OR(X4="",O4="",S4="",O4=S4),"",(X4-S4)/(O4-S4))</f>
        <v/>
      </c>
      <c r="AR4" s="14" t="str">
        <f aca="false">IF(OR(X4="",AP4=""),"",ABS(X4-AP4))</f>
        <v/>
      </c>
      <c r="AS4" s="14" t="str">
        <f aca="false">IF(OR(X4="",AE4=""),"",ABS(X4-AE4))</f>
        <v/>
      </c>
      <c r="AT4" s="16" t="str">
        <f aca="false">IF(OR(AR4="",AS4=""),"",IF(AS4&lt;AR4,"National avg",IF(AR4&lt;AS4,"Record midpoint","Tie")))</f>
        <v/>
      </c>
      <c r="AU4" s="14" t="str">
        <f aca="false">IF(OR(X4="",Z4=""),"",X4-Z4)</f>
        <v/>
      </c>
      <c r="AV4" s="14" t="str">
        <f aca="false">IF(OR(X4="",AF4=""),"",X4-AF4)</f>
        <v/>
      </c>
      <c r="AW4" s="14" t="str">
        <f aca="false">IF(X4="","",X4+IF(Y4="",0,Y4)/10000)</f>
        <v/>
      </c>
      <c r="AX4" s="15" t="str">
        <f aca="false">IF(OR(X4="",V4="",W4="",W4=V4),"",(X4-V4)/(W4-V4))</f>
        <v/>
      </c>
      <c r="AY4" s="14" t="str">
        <f aca="false">IF(OR(X4="",Z4=""),"",ABS(X4-Z4))</f>
        <v/>
      </c>
      <c r="AZ4" s="14" t="str">
        <f aca="false">IF(OR(X4="",U4=""),"",ABS(X4-U4))</f>
        <v/>
      </c>
      <c r="BA4" s="16" t="str">
        <f aca="false">IF(COUNT(AR4,AS4,AY4,AZ4)&lt;2,"",IF(AR4=MIN(AR4,AS4,AY4,AZ4),"Record midpoint",IF(AS4=MIN(AR4,AS4,AY4,AZ4),"National avg",IF(AY4=MIN(AR4,AS4,AY4,AZ4),"Prior award","ALJ"))))</f>
        <v/>
      </c>
      <c r="BB4" s="17" t="str">
        <f aca="false">IF(OR(K4="",AA4=""),"",(K4-AA4)/30.4375)</f>
        <v/>
      </c>
      <c r="BC4" s="14" t="str">
        <f aca="false">IF(OR(AF4="",AB4=""),"",AF4-AB4)</f>
        <v/>
      </c>
      <c r="BD4" s="14" t="str">
        <f aca="false">IF(OR(O4="",N4=""),"",O4-N4)</f>
        <v/>
      </c>
      <c r="BE4" s="16" t="str">
        <f aca="false">IF(K4="","",IF(K4&lt;DATE(2022,1,1),"Pre (2019-21)",IF(K4&lt;DATE(2023,1,1),"Transition (2022)","Post (2023-)")))</f>
        <v/>
      </c>
    </row>
    <row r="5" customFormat="false" ht="15" hidden="false" customHeight="false" outlineLevel="0" collapsed="false">
      <c r="A5" s="18" t="s">
        <v>123</v>
      </c>
      <c r="B5" s="18"/>
      <c r="C5" s="18"/>
      <c r="D5" s="18"/>
      <c r="E5" s="18"/>
      <c r="F5" s="18"/>
      <c r="G5" s="18"/>
      <c r="H5" s="18"/>
      <c r="I5" s="18"/>
      <c r="J5" s="19"/>
      <c r="K5" s="19"/>
      <c r="L5" s="18"/>
      <c r="M5" s="18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1"/>
      <c r="Z5" s="20"/>
      <c r="AA5" s="19"/>
      <c r="AB5" s="20"/>
      <c r="AC5" s="18"/>
      <c r="AD5" s="20"/>
      <c r="AE5" s="20"/>
      <c r="AF5" s="20"/>
      <c r="AG5" s="20"/>
      <c r="AH5" s="18"/>
      <c r="AI5" s="18"/>
      <c r="AJ5" s="18"/>
      <c r="AK5" s="18"/>
      <c r="AL5" s="18"/>
      <c r="AM5" s="19"/>
      <c r="AN5" s="18"/>
      <c r="AO5" s="18"/>
      <c r="AP5" s="14" t="str">
        <f aca="false">IF(COUNT(O5,R5:T5)=0,"",AVERAGE(O5,R5:T5))</f>
        <v/>
      </c>
      <c r="AQ5" s="15" t="str">
        <f aca="false">IF(OR(X5="",O5="",S5="",O5=S5),"",(X5-S5)/(O5-S5))</f>
        <v/>
      </c>
      <c r="AR5" s="14" t="str">
        <f aca="false">IF(OR(X5="",AP5=""),"",ABS(X5-AP5))</f>
        <v/>
      </c>
      <c r="AS5" s="14" t="str">
        <f aca="false">IF(OR(X5="",AE5=""),"",ABS(X5-AE5))</f>
        <v/>
      </c>
      <c r="AT5" s="16" t="str">
        <f aca="false">IF(OR(AR5="",AS5=""),"",IF(AS5&lt;AR5,"National avg",IF(AR5&lt;AS5,"Record midpoint","Tie")))</f>
        <v/>
      </c>
      <c r="AU5" s="14" t="str">
        <f aca="false">IF(OR(X5="",Z5=""),"",X5-Z5)</f>
        <v/>
      </c>
      <c r="AV5" s="14" t="str">
        <f aca="false">IF(OR(X5="",AF5=""),"",X5-AF5)</f>
        <v/>
      </c>
      <c r="AW5" s="14" t="str">
        <f aca="false">IF(X5="","",X5+IF(Y5="",0,Y5)/10000)</f>
        <v/>
      </c>
      <c r="AX5" s="15" t="str">
        <f aca="false">IF(OR(X5="",V5="",W5="",W5=V5),"",(X5-V5)/(W5-V5))</f>
        <v/>
      </c>
      <c r="AY5" s="14" t="str">
        <f aca="false">IF(OR(X5="",Z5=""),"",ABS(X5-Z5))</f>
        <v/>
      </c>
      <c r="AZ5" s="14" t="str">
        <f aca="false">IF(OR(X5="",U5=""),"",ABS(X5-U5))</f>
        <v/>
      </c>
      <c r="BA5" s="16" t="str">
        <f aca="false">IF(COUNT(AR5,AS5,AY5,AZ5)&lt;2,"",IF(AR5=MIN(AR5,AS5,AY5,AZ5),"Record midpoint",IF(AS5=MIN(AR5,AS5,AY5,AZ5),"National avg",IF(AY5=MIN(AR5,AS5,AY5,AZ5),"Prior award","ALJ"))))</f>
        <v/>
      </c>
      <c r="BB5" s="17" t="str">
        <f aca="false">IF(OR(K5="",AA5=""),"",(K5-AA5)/30.4375)</f>
        <v/>
      </c>
      <c r="BC5" s="14" t="str">
        <f aca="false">IF(OR(AF5="",AB5=""),"",AF5-AB5)</f>
        <v/>
      </c>
      <c r="BD5" s="14" t="str">
        <f aca="false">IF(OR(O5="",N5=""),"",O5-N5)</f>
        <v/>
      </c>
      <c r="BE5" s="16" t="str">
        <f aca="false">IF(K5="","",IF(K5&lt;DATE(2022,1,1),"Pre (2019-21)",IF(K5&lt;DATE(2023,1,1),"Transition (2022)","Post (2023-)")))</f>
        <v/>
      </c>
    </row>
    <row r="6" customFormat="false" ht="15" hidden="false" customHeight="false" outlineLevel="0" collapsed="false">
      <c r="A6" s="18" t="s">
        <v>124</v>
      </c>
      <c r="B6" s="18"/>
      <c r="C6" s="18"/>
      <c r="D6" s="18"/>
      <c r="E6" s="18"/>
      <c r="F6" s="18"/>
      <c r="G6" s="18"/>
      <c r="H6" s="18"/>
      <c r="I6" s="18"/>
      <c r="J6" s="19"/>
      <c r="K6" s="19"/>
      <c r="L6" s="18"/>
      <c r="M6" s="18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1"/>
      <c r="Z6" s="20"/>
      <c r="AA6" s="19"/>
      <c r="AB6" s="20"/>
      <c r="AC6" s="18"/>
      <c r="AD6" s="20"/>
      <c r="AE6" s="20"/>
      <c r="AF6" s="20"/>
      <c r="AG6" s="20"/>
      <c r="AH6" s="18"/>
      <c r="AI6" s="18"/>
      <c r="AJ6" s="18"/>
      <c r="AK6" s="18"/>
      <c r="AL6" s="18"/>
      <c r="AM6" s="19"/>
      <c r="AN6" s="18"/>
      <c r="AO6" s="18"/>
      <c r="AP6" s="14" t="str">
        <f aca="false">IF(COUNT(O6,R6:T6)=0,"",AVERAGE(O6,R6:T6))</f>
        <v/>
      </c>
      <c r="AQ6" s="15" t="str">
        <f aca="false">IF(OR(X6="",O6="",S6="",O6=S6),"",(X6-S6)/(O6-S6))</f>
        <v/>
      </c>
      <c r="AR6" s="14" t="str">
        <f aca="false">IF(OR(X6="",AP6=""),"",ABS(X6-AP6))</f>
        <v/>
      </c>
      <c r="AS6" s="14" t="str">
        <f aca="false">IF(OR(X6="",AE6=""),"",ABS(X6-AE6))</f>
        <v/>
      </c>
      <c r="AT6" s="16" t="str">
        <f aca="false">IF(OR(AR6="",AS6=""),"",IF(AS6&lt;AR6,"National avg",IF(AR6&lt;AS6,"Record midpoint","Tie")))</f>
        <v/>
      </c>
      <c r="AU6" s="14" t="str">
        <f aca="false">IF(OR(X6="",Z6=""),"",X6-Z6)</f>
        <v/>
      </c>
      <c r="AV6" s="14" t="str">
        <f aca="false">IF(OR(X6="",AF6=""),"",X6-AF6)</f>
        <v/>
      </c>
      <c r="AW6" s="14" t="str">
        <f aca="false">IF(X6="","",X6+IF(Y6="",0,Y6)/10000)</f>
        <v/>
      </c>
      <c r="AX6" s="15" t="str">
        <f aca="false">IF(OR(X6="",V6="",W6="",W6=V6),"",(X6-V6)/(W6-V6))</f>
        <v/>
      </c>
      <c r="AY6" s="14" t="str">
        <f aca="false">IF(OR(X6="",Z6=""),"",ABS(X6-Z6))</f>
        <v/>
      </c>
      <c r="AZ6" s="14" t="str">
        <f aca="false">IF(OR(X6="",U6=""),"",ABS(X6-U6))</f>
        <v/>
      </c>
      <c r="BA6" s="16" t="str">
        <f aca="false">IF(COUNT(AR6,AS6,AY6,AZ6)&lt;2,"",IF(AR6=MIN(AR6,AS6,AY6,AZ6),"Record midpoint",IF(AS6=MIN(AR6,AS6,AY6,AZ6),"National avg",IF(AY6=MIN(AR6,AS6,AY6,AZ6),"Prior award","ALJ"))))</f>
        <v/>
      </c>
      <c r="BB6" s="17" t="str">
        <f aca="false">IF(OR(K6="",AA6=""),"",(K6-AA6)/30.4375)</f>
        <v/>
      </c>
      <c r="BC6" s="14" t="str">
        <f aca="false">IF(OR(AF6="",AB6=""),"",AF6-AB6)</f>
        <v/>
      </c>
      <c r="BD6" s="14" t="str">
        <f aca="false">IF(OR(O6="",N6=""),"",O6-N6)</f>
        <v/>
      </c>
      <c r="BE6" s="16" t="str">
        <f aca="false">IF(K6="","",IF(K6&lt;DATE(2022,1,1),"Pre (2019-21)",IF(K6&lt;DATE(2023,1,1),"Transition (2022)","Post (2023-)")))</f>
        <v/>
      </c>
    </row>
    <row r="7" customFormat="false" ht="15" hidden="false" customHeight="false" outlineLevel="0" collapsed="false">
      <c r="A7" s="18" t="s">
        <v>125</v>
      </c>
      <c r="B7" s="18"/>
      <c r="C7" s="18"/>
      <c r="D7" s="18"/>
      <c r="E7" s="18"/>
      <c r="F7" s="18"/>
      <c r="G7" s="18"/>
      <c r="H7" s="18"/>
      <c r="I7" s="18"/>
      <c r="J7" s="19"/>
      <c r="K7" s="19"/>
      <c r="L7" s="18"/>
      <c r="M7" s="18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1"/>
      <c r="Z7" s="20"/>
      <c r="AA7" s="19"/>
      <c r="AB7" s="20"/>
      <c r="AC7" s="18"/>
      <c r="AD7" s="20"/>
      <c r="AE7" s="20"/>
      <c r="AF7" s="20"/>
      <c r="AG7" s="20"/>
      <c r="AH7" s="18"/>
      <c r="AI7" s="18"/>
      <c r="AJ7" s="18"/>
      <c r="AK7" s="18"/>
      <c r="AL7" s="18"/>
      <c r="AM7" s="19"/>
      <c r="AN7" s="18"/>
      <c r="AO7" s="18"/>
      <c r="AP7" s="14" t="str">
        <f aca="false">IF(COUNT(O7,R7:T7)=0,"",AVERAGE(O7,R7:T7))</f>
        <v/>
      </c>
      <c r="AQ7" s="15" t="str">
        <f aca="false">IF(OR(X7="",O7="",S7="",O7=S7),"",(X7-S7)/(O7-S7))</f>
        <v/>
      </c>
      <c r="AR7" s="14" t="str">
        <f aca="false">IF(OR(X7="",AP7=""),"",ABS(X7-AP7))</f>
        <v/>
      </c>
      <c r="AS7" s="14" t="str">
        <f aca="false">IF(OR(X7="",AE7=""),"",ABS(X7-AE7))</f>
        <v/>
      </c>
      <c r="AT7" s="16" t="str">
        <f aca="false">IF(OR(AR7="",AS7=""),"",IF(AS7&lt;AR7,"National avg",IF(AR7&lt;AS7,"Record midpoint","Tie")))</f>
        <v/>
      </c>
      <c r="AU7" s="14" t="str">
        <f aca="false">IF(OR(X7="",Z7=""),"",X7-Z7)</f>
        <v/>
      </c>
      <c r="AV7" s="14" t="str">
        <f aca="false">IF(OR(X7="",AF7=""),"",X7-AF7)</f>
        <v/>
      </c>
      <c r="AW7" s="14" t="str">
        <f aca="false">IF(X7="","",X7+IF(Y7="",0,Y7)/10000)</f>
        <v/>
      </c>
      <c r="AX7" s="15" t="str">
        <f aca="false">IF(OR(X7="",V7="",W7="",W7=V7),"",(X7-V7)/(W7-V7))</f>
        <v/>
      </c>
      <c r="AY7" s="14" t="str">
        <f aca="false">IF(OR(X7="",Z7=""),"",ABS(X7-Z7))</f>
        <v/>
      </c>
      <c r="AZ7" s="14" t="str">
        <f aca="false">IF(OR(X7="",U7=""),"",ABS(X7-U7))</f>
        <v/>
      </c>
      <c r="BA7" s="16" t="str">
        <f aca="false">IF(COUNT(AR7,AS7,AY7,AZ7)&lt;2,"",IF(AR7=MIN(AR7,AS7,AY7,AZ7),"Record midpoint",IF(AS7=MIN(AR7,AS7,AY7,AZ7),"National avg",IF(AY7=MIN(AR7,AS7,AY7,AZ7),"Prior award","ALJ"))))</f>
        <v/>
      </c>
      <c r="BB7" s="17" t="str">
        <f aca="false">IF(OR(K7="",AA7=""),"",(K7-AA7)/30.4375)</f>
        <v/>
      </c>
      <c r="BC7" s="14" t="str">
        <f aca="false">IF(OR(AF7="",AB7=""),"",AF7-AB7)</f>
        <v/>
      </c>
      <c r="BD7" s="14" t="str">
        <f aca="false">IF(OR(O7="",N7=""),"",O7-N7)</f>
        <v/>
      </c>
      <c r="BE7" s="16" t="str">
        <f aca="false">IF(K7="","",IF(K7&lt;DATE(2022,1,1),"Pre (2019-21)",IF(K7&lt;DATE(2023,1,1),"Transition (2022)","Post (2023-)")))</f>
        <v/>
      </c>
    </row>
    <row r="8" customFormat="false" ht="15" hidden="false" customHeight="false" outlineLevel="0" collapsed="false">
      <c r="A8" s="18" t="s">
        <v>126</v>
      </c>
      <c r="B8" s="18"/>
      <c r="C8" s="18"/>
      <c r="D8" s="18"/>
      <c r="E8" s="18"/>
      <c r="F8" s="18"/>
      <c r="G8" s="18"/>
      <c r="H8" s="18"/>
      <c r="I8" s="18"/>
      <c r="J8" s="19"/>
      <c r="K8" s="19"/>
      <c r="L8" s="18"/>
      <c r="M8" s="18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1"/>
      <c r="Z8" s="20"/>
      <c r="AA8" s="19"/>
      <c r="AB8" s="20"/>
      <c r="AC8" s="18"/>
      <c r="AD8" s="20"/>
      <c r="AE8" s="20"/>
      <c r="AF8" s="20"/>
      <c r="AG8" s="20"/>
      <c r="AH8" s="18"/>
      <c r="AI8" s="18"/>
      <c r="AJ8" s="18"/>
      <c r="AK8" s="18"/>
      <c r="AL8" s="18"/>
      <c r="AM8" s="19"/>
      <c r="AN8" s="18"/>
      <c r="AO8" s="18"/>
      <c r="AP8" s="14" t="str">
        <f aca="false">IF(COUNT(O8,R8:T8)=0,"",AVERAGE(O8,R8:T8))</f>
        <v/>
      </c>
      <c r="AQ8" s="15" t="str">
        <f aca="false">IF(OR(X8="",O8="",S8="",O8=S8),"",(X8-S8)/(O8-S8))</f>
        <v/>
      </c>
      <c r="AR8" s="14" t="str">
        <f aca="false">IF(OR(X8="",AP8=""),"",ABS(X8-AP8))</f>
        <v/>
      </c>
      <c r="AS8" s="14" t="str">
        <f aca="false">IF(OR(X8="",AE8=""),"",ABS(X8-AE8))</f>
        <v/>
      </c>
      <c r="AT8" s="16" t="str">
        <f aca="false">IF(OR(AR8="",AS8=""),"",IF(AS8&lt;AR8,"National avg",IF(AR8&lt;AS8,"Record midpoint","Tie")))</f>
        <v/>
      </c>
      <c r="AU8" s="14" t="str">
        <f aca="false">IF(OR(X8="",Z8=""),"",X8-Z8)</f>
        <v/>
      </c>
      <c r="AV8" s="14" t="str">
        <f aca="false">IF(OR(X8="",AF8=""),"",X8-AF8)</f>
        <v/>
      </c>
      <c r="AW8" s="14" t="str">
        <f aca="false">IF(X8="","",X8+IF(Y8="",0,Y8)/10000)</f>
        <v/>
      </c>
      <c r="AX8" s="15" t="str">
        <f aca="false">IF(OR(X8="",V8="",W8="",W8=V8),"",(X8-V8)/(W8-V8))</f>
        <v/>
      </c>
      <c r="AY8" s="14" t="str">
        <f aca="false">IF(OR(X8="",Z8=""),"",ABS(X8-Z8))</f>
        <v/>
      </c>
      <c r="AZ8" s="14" t="str">
        <f aca="false">IF(OR(X8="",U8=""),"",ABS(X8-U8))</f>
        <v/>
      </c>
      <c r="BA8" s="16" t="str">
        <f aca="false">IF(COUNT(AR8,AS8,AY8,AZ8)&lt;2,"",IF(AR8=MIN(AR8,AS8,AY8,AZ8),"Record midpoint",IF(AS8=MIN(AR8,AS8,AY8,AZ8),"National avg",IF(AY8=MIN(AR8,AS8,AY8,AZ8),"Prior award","ALJ"))))</f>
        <v/>
      </c>
      <c r="BB8" s="17" t="str">
        <f aca="false">IF(OR(K8="",AA8=""),"",(K8-AA8)/30.4375)</f>
        <v/>
      </c>
      <c r="BC8" s="14" t="str">
        <f aca="false">IF(OR(AF8="",AB8=""),"",AF8-AB8)</f>
        <v/>
      </c>
      <c r="BD8" s="14" t="str">
        <f aca="false">IF(OR(O8="",N8=""),"",O8-N8)</f>
        <v/>
      </c>
      <c r="BE8" s="16" t="str">
        <f aca="false">IF(K8="","",IF(K8&lt;DATE(2022,1,1),"Pre (2019-21)",IF(K8&lt;DATE(2023,1,1),"Transition (2022)","Post (2023-)")))</f>
        <v/>
      </c>
    </row>
    <row r="9" customFormat="false" ht="15" hidden="false" customHeight="false" outlineLevel="0" collapsed="false">
      <c r="A9" s="18" t="s">
        <v>127</v>
      </c>
      <c r="B9" s="18"/>
      <c r="C9" s="18"/>
      <c r="D9" s="18"/>
      <c r="E9" s="18"/>
      <c r="F9" s="18"/>
      <c r="G9" s="18"/>
      <c r="H9" s="18"/>
      <c r="I9" s="18"/>
      <c r="J9" s="19"/>
      <c r="K9" s="19"/>
      <c r="L9" s="18"/>
      <c r="M9" s="18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1"/>
      <c r="Z9" s="20"/>
      <c r="AA9" s="19"/>
      <c r="AB9" s="20"/>
      <c r="AC9" s="18"/>
      <c r="AD9" s="20"/>
      <c r="AE9" s="20"/>
      <c r="AF9" s="20"/>
      <c r="AG9" s="20"/>
      <c r="AH9" s="18"/>
      <c r="AI9" s="18"/>
      <c r="AJ9" s="18"/>
      <c r="AK9" s="18"/>
      <c r="AL9" s="18"/>
      <c r="AM9" s="19"/>
      <c r="AN9" s="18"/>
      <c r="AO9" s="18"/>
      <c r="AP9" s="14" t="str">
        <f aca="false">IF(COUNT(O9,R9:T9)=0,"",AVERAGE(O9,R9:T9))</f>
        <v/>
      </c>
      <c r="AQ9" s="15" t="str">
        <f aca="false">IF(OR(X9="",O9="",S9="",O9=S9),"",(X9-S9)/(O9-S9))</f>
        <v/>
      </c>
      <c r="AR9" s="14" t="str">
        <f aca="false">IF(OR(X9="",AP9=""),"",ABS(X9-AP9))</f>
        <v/>
      </c>
      <c r="AS9" s="14" t="str">
        <f aca="false">IF(OR(X9="",AE9=""),"",ABS(X9-AE9))</f>
        <v/>
      </c>
      <c r="AT9" s="16" t="str">
        <f aca="false">IF(OR(AR9="",AS9=""),"",IF(AS9&lt;AR9,"National avg",IF(AR9&lt;AS9,"Record midpoint","Tie")))</f>
        <v/>
      </c>
      <c r="AU9" s="14" t="str">
        <f aca="false">IF(OR(X9="",Z9=""),"",X9-Z9)</f>
        <v/>
      </c>
      <c r="AV9" s="14" t="str">
        <f aca="false">IF(OR(X9="",AF9=""),"",X9-AF9)</f>
        <v/>
      </c>
      <c r="AW9" s="14" t="str">
        <f aca="false">IF(X9="","",X9+IF(Y9="",0,Y9)/10000)</f>
        <v/>
      </c>
      <c r="AX9" s="15" t="str">
        <f aca="false">IF(OR(X9="",V9="",W9="",W9=V9),"",(X9-V9)/(W9-V9))</f>
        <v/>
      </c>
      <c r="AY9" s="14" t="str">
        <f aca="false">IF(OR(X9="",Z9=""),"",ABS(X9-Z9))</f>
        <v/>
      </c>
      <c r="AZ9" s="14" t="str">
        <f aca="false">IF(OR(X9="",U9=""),"",ABS(X9-U9))</f>
        <v/>
      </c>
      <c r="BA9" s="16" t="str">
        <f aca="false">IF(COUNT(AR9,AS9,AY9,AZ9)&lt;2,"",IF(AR9=MIN(AR9,AS9,AY9,AZ9),"Record midpoint",IF(AS9=MIN(AR9,AS9,AY9,AZ9),"National avg",IF(AY9=MIN(AR9,AS9,AY9,AZ9),"Prior award","ALJ"))))</f>
        <v/>
      </c>
      <c r="BB9" s="17" t="str">
        <f aca="false">IF(OR(K9="",AA9=""),"",(K9-AA9)/30.4375)</f>
        <v/>
      </c>
      <c r="BC9" s="14" t="str">
        <f aca="false">IF(OR(AF9="",AB9=""),"",AF9-AB9)</f>
        <v/>
      </c>
      <c r="BD9" s="14" t="str">
        <f aca="false">IF(OR(O9="",N9=""),"",O9-N9)</f>
        <v/>
      </c>
      <c r="BE9" s="16" t="str">
        <f aca="false">IF(K9="","",IF(K9&lt;DATE(2022,1,1),"Pre (2019-21)",IF(K9&lt;DATE(2023,1,1),"Transition (2022)","Post (2023-)")))</f>
        <v/>
      </c>
    </row>
    <row r="10" customFormat="false" ht="15" hidden="false" customHeight="false" outlineLevel="0" collapsed="false">
      <c r="A10" s="18" t="s">
        <v>128</v>
      </c>
      <c r="B10" s="18"/>
      <c r="C10" s="18"/>
      <c r="D10" s="18"/>
      <c r="E10" s="18"/>
      <c r="F10" s="18"/>
      <c r="G10" s="18"/>
      <c r="H10" s="18"/>
      <c r="I10" s="18"/>
      <c r="J10" s="19"/>
      <c r="K10" s="19"/>
      <c r="L10" s="18"/>
      <c r="M10" s="18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1"/>
      <c r="Z10" s="20"/>
      <c r="AA10" s="19"/>
      <c r="AB10" s="20"/>
      <c r="AC10" s="18"/>
      <c r="AD10" s="20"/>
      <c r="AE10" s="20"/>
      <c r="AF10" s="20"/>
      <c r="AG10" s="20"/>
      <c r="AH10" s="18"/>
      <c r="AI10" s="18"/>
      <c r="AJ10" s="18"/>
      <c r="AK10" s="18"/>
      <c r="AL10" s="18"/>
      <c r="AM10" s="19"/>
      <c r="AN10" s="18"/>
      <c r="AO10" s="18"/>
      <c r="AP10" s="14" t="str">
        <f aca="false">IF(COUNT(O10,R10:T10)=0,"",AVERAGE(O10,R10:T10))</f>
        <v/>
      </c>
      <c r="AQ10" s="15" t="str">
        <f aca="false">IF(OR(X10="",O10="",S10="",O10=S10),"",(X10-S10)/(O10-S10))</f>
        <v/>
      </c>
      <c r="AR10" s="14" t="str">
        <f aca="false">IF(OR(X10="",AP10=""),"",ABS(X10-AP10))</f>
        <v/>
      </c>
      <c r="AS10" s="14" t="str">
        <f aca="false">IF(OR(X10="",AE10=""),"",ABS(X10-AE10))</f>
        <v/>
      </c>
      <c r="AT10" s="16" t="str">
        <f aca="false">IF(OR(AR10="",AS10=""),"",IF(AS10&lt;AR10,"National avg",IF(AR10&lt;AS10,"Record midpoint","Tie")))</f>
        <v/>
      </c>
      <c r="AU10" s="14" t="str">
        <f aca="false">IF(OR(X10="",Z10=""),"",X10-Z10)</f>
        <v/>
      </c>
      <c r="AV10" s="14" t="str">
        <f aca="false">IF(OR(X10="",AF10=""),"",X10-AF10)</f>
        <v/>
      </c>
      <c r="AW10" s="14" t="str">
        <f aca="false">IF(X10="","",X10+IF(Y10="",0,Y10)/10000)</f>
        <v/>
      </c>
      <c r="AX10" s="15" t="str">
        <f aca="false">IF(OR(X10="",V10="",W10="",W10=V10),"",(X10-V10)/(W10-V10))</f>
        <v/>
      </c>
      <c r="AY10" s="14" t="str">
        <f aca="false">IF(OR(X10="",Z10=""),"",ABS(X10-Z10))</f>
        <v/>
      </c>
      <c r="AZ10" s="14" t="str">
        <f aca="false">IF(OR(X10="",U10=""),"",ABS(X10-U10))</f>
        <v/>
      </c>
      <c r="BA10" s="16" t="str">
        <f aca="false">IF(COUNT(AR10,AS10,AY10,AZ10)&lt;2,"",IF(AR10=MIN(AR10,AS10,AY10,AZ10),"Record midpoint",IF(AS10=MIN(AR10,AS10,AY10,AZ10),"National avg",IF(AY10=MIN(AR10,AS10,AY10,AZ10),"Prior award","ALJ"))))</f>
        <v/>
      </c>
      <c r="BB10" s="17" t="str">
        <f aca="false">IF(OR(K10="",AA10=""),"",(K10-AA10)/30.4375)</f>
        <v/>
      </c>
      <c r="BC10" s="14" t="str">
        <f aca="false">IF(OR(AF10="",AB10=""),"",AF10-AB10)</f>
        <v/>
      </c>
      <c r="BD10" s="14" t="str">
        <f aca="false">IF(OR(O10="",N10=""),"",O10-N10)</f>
        <v/>
      </c>
      <c r="BE10" s="16" t="str">
        <f aca="false">IF(K10="","",IF(K10&lt;DATE(2022,1,1),"Pre (2019-21)",IF(K10&lt;DATE(2023,1,1),"Transition (2022)","Post (2023-)")))</f>
        <v/>
      </c>
    </row>
    <row r="11" customFormat="false" ht="15" hidden="false" customHeight="false" outlineLevel="0" collapsed="false">
      <c r="A11" s="18" t="s">
        <v>129</v>
      </c>
      <c r="B11" s="18"/>
      <c r="C11" s="18"/>
      <c r="D11" s="18"/>
      <c r="E11" s="18"/>
      <c r="F11" s="18"/>
      <c r="G11" s="18"/>
      <c r="H11" s="18"/>
      <c r="I11" s="18"/>
      <c r="J11" s="19"/>
      <c r="K11" s="19"/>
      <c r="L11" s="18"/>
      <c r="M11" s="18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1"/>
      <c r="Z11" s="20"/>
      <c r="AA11" s="19"/>
      <c r="AB11" s="20"/>
      <c r="AC11" s="18"/>
      <c r="AD11" s="20"/>
      <c r="AE11" s="20"/>
      <c r="AF11" s="20"/>
      <c r="AG11" s="20"/>
      <c r="AH11" s="18"/>
      <c r="AI11" s="18"/>
      <c r="AJ11" s="18"/>
      <c r="AK11" s="18"/>
      <c r="AL11" s="18"/>
      <c r="AM11" s="19"/>
      <c r="AN11" s="18"/>
      <c r="AO11" s="18"/>
      <c r="AP11" s="14" t="str">
        <f aca="false">IF(COUNT(O11,R11:T11)=0,"",AVERAGE(O11,R11:T11))</f>
        <v/>
      </c>
      <c r="AQ11" s="15" t="str">
        <f aca="false">IF(OR(X11="",O11="",S11="",O11=S11),"",(X11-S11)/(O11-S11))</f>
        <v/>
      </c>
      <c r="AR11" s="14" t="str">
        <f aca="false">IF(OR(X11="",AP11=""),"",ABS(X11-AP11))</f>
        <v/>
      </c>
      <c r="AS11" s="14" t="str">
        <f aca="false">IF(OR(X11="",AE11=""),"",ABS(X11-AE11))</f>
        <v/>
      </c>
      <c r="AT11" s="16" t="str">
        <f aca="false">IF(OR(AR11="",AS11=""),"",IF(AS11&lt;AR11,"National avg",IF(AR11&lt;AS11,"Record midpoint","Tie")))</f>
        <v/>
      </c>
      <c r="AU11" s="14" t="str">
        <f aca="false">IF(OR(X11="",Z11=""),"",X11-Z11)</f>
        <v/>
      </c>
      <c r="AV11" s="14" t="str">
        <f aca="false">IF(OR(X11="",AF11=""),"",X11-AF11)</f>
        <v/>
      </c>
      <c r="AW11" s="14" t="str">
        <f aca="false">IF(X11="","",X11+IF(Y11="",0,Y11)/10000)</f>
        <v/>
      </c>
      <c r="AX11" s="15" t="str">
        <f aca="false">IF(OR(X11="",V11="",W11="",W11=V11),"",(X11-V11)/(W11-V11))</f>
        <v/>
      </c>
      <c r="AY11" s="14" t="str">
        <f aca="false">IF(OR(X11="",Z11=""),"",ABS(X11-Z11))</f>
        <v/>
      </c>
      <c r="AZ11" s="14" t="str">
        <f aca="false">IF(OR(X11="",U11=""),"",ABS(X11-U11))</f>
        <v/>
      </c>
      <c r="BA11" s="16" t="str">
        <f aca="false">IF(COUNT(AR11,AS11,AY11,AZ11)&lt;2,"",IF(AR11=MIN(AR11,AS11,AY11,AZ11),"Record midpoint",IF(AS11=MIN(AR11,AS11,AY11,AZ11),"National avg",IF(AY11=MIN(AR11,AS11,AY11,AZ11),"Prior award","ALJ"))))</f>
        <v/>
      </c>
      <c r="BB11" s="17" t="str">
        <f aca="false">IF(OR(K11="",AA11=""),"",(K11-AA11)/30.4375)</f>
        <v/>
      </c>
      <c r="BC11" s="14" t="str">
        <f aca="false">IF(OR(AF11="",AB11=""),"",AF11-AB11)</f>
        <v/>
      </c>
      <c r="BD11" s="14" t="str">
        <f aca="false">IF(OR(O11="",N11=""),"",O11-N11)</f>
        <v/>
      </c>
      <c r="BE11" s="16" t="str">
        <f aca="false">IF(K11="","",IF(K11&lt;DATE(2022,1,1),"Pre (2019-21)",IF(K11&lt;DATE(2023,1,1),"Transition (2022)","Post (2023-)")))</f>
        <v/>
      </c>
    </row>
    <row r="12" customFormat="false" ht="15" hidden="false" customHeight="false" outlineLevel="0" collapsed="false">
      <c r="A12" s="18" t="s">
        <v>130</v>
      </c>
      <c r="B12" s="18"/>
      <c r="C12" s="18"/>
      <c r="D12" s="18"/>
      <c r="E12" s="18"/>
      <c r="F12" s="18"/>
      <c r="G12" s="18"/>
      <c r="H12" s="18"/>
      <c r="I12" s="18"/>
      <c r="J12" s="19"/>
      <c r="K12" s="19"/>
      <c r="L12" s="18"/>
      <c r="M12" s="18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1"/>
      <c r="Z12" s="20"/>
      <c r="AA12" s="19"/>
      <c r="AB12" s="20"/>
      <c r="AC12" s="18"/>
      <c r="AD12" s="20"/>
      <c r="AE12" s="20"/>
      <c r="AF12" s="20"/>
      <c r="AG12" s="20"/>
      <c r="AH12" s="18"/>
      <c r="AI12" s="18"/>
      <c r="AJ12" s="18"/>
      <c r="AK12" s="18"/>
      <c r="AL12" s="18"/>
      <c r="AM12" s="19"/>
      <c r="AN12" s="18"/>
      <c r="AO12" s="18"/>
      <c r="AP12" s="14" t="str">
        <f aca="false">IF(COUNT(O12,R12:T12)=0,"",AVERAGE(O12,R12:T12))</f>
        <v/>
      </c>
      <c r="AQ12" s="15" t="str">
        <f aca="false">IF(OR(X12="",O12="",S12="",O12=S12),"",(X12-S12)/(O12-S12))</f>
        <v/>
      </c>
      <c r="AR12" s="14" t="str">
        <f aca="false">IF(OR(X12="",AP12=""),"",ABS(X12-AP12))</f>
        <v/>
      </c>
      <c r="AS12" s="14" t="str">
        <f aca="false">IF(OR(X12="",AE12=""),"",ABS(X12-AE12))</f>
        <v/>
      </c>
      <c r="AT12" s="16" t="str">
        <f aca="false">IF(OR(AR12="",AS12=""),"",IF(AS12&lt;AR12,"National avg",IF(AR12&lt;AS12,"Record midpoint","Tie")))</f>
        <v/>
      </c>
      <c r="AU12" s="14" t="str">
        <f aca="false">IF(OR(X12="",Z12=""),"",X12-Z12)</f>
        <v/>
      </c>
      <c r="AV12" s="14" t="str">
        <f aca="false">IF(OR(X12="",AF12=""),"",X12-AF12)</f>
        <v/>
      </c>
      <c r="AW12" s="14" t="str">
        <f aca="false">IF(X12="","",X12+IF(Y12="",0,Y12)/10000)</f>
        <v/>
      </c>
      <c r="AX12" s="15" t="str">
        <f aca="false">IF(OR(X12="",V12="",W12="",W12=V12),"",(X12-V12)/(W12-V12))</f>
        <v/>
      </c>
      <c r="AY12" s="14" t="str">
        <f aca="false">IF(OR(X12="",Z12=""),"",ABS(X12-Z12))</f>
        <v/>
      </c>
      <c r="AZ12" s="14" t="str">
        <f aca="false">IF(OR(X12="",U12=""),"",ABS(X12-U12))</f>
        <v/>
      </c>
      <c r="BA12" s="16" t="str">
        <f aca="false">IF(COUNT(AR12,AS12,AY12,AZ12)&lt;2,"",IF(AR12=MIN(AR12,AS12,AY12,AZ12),"Record midpoint",IF(AS12=MIN(AR12,AS12,AY12,AZ12),"National avg",IF(AY12=MIN(AR12,AS12,AY12,AZ12),"Prior award","ALJ"))))</f>
        <v/>
      </c>
      <c r="BB12" s="17" t="str">
        <f aca="false">IF(OR(K12="",AA12=""),"",(K12-AA12)/30.4375)</f>
        <v/>
      </c>
      <c r="BC12" s="14" t="str">
        <f aca="false">IF(OR(AF12="",AB12=""),"",AF12-AB12)</f>
        <v/>
      </c>
      <c r="BD12" s="14" t="str">
        <f aca="false">IF(OR(O12="",N12=""),"",O12-N12)</f>
        <v/>
      </c>
      <c r="BE12" s="16" t="str">
        <f aca="false">IF(K12="","",IF(K12&lt;DATE(2022,1,1),"Pre (2019-21)",IF(K12&lt;DATE(2023,1,1),"Transition (2022)","Post (2023-)")))</f>
        <v/>
      </c>
    </row>
    <row r="13" customFormat="false" ht="15" hidden="false" customHeight="false" outlineLevel="0" collapsed="false">
      <c r="A13" s="18" t="s">
        <v>131</v>
      </c>
      <c r="B13" s="18"/>
      <c r="C13" s="18"/>
      <c r="D13" s="18"/>
      <c r="E13" s="18"/>
      <c r="F13" s="18"/>
      <c r="G13" s="18"/>
      <c r="H13" s="18"/>
      <c r="I13" s="18"/>
      <c r="J13" s="19"/>
      <c r="K13" s="19"/>
      <c r="L13" s="18"/>
      <c r="M13" s="18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0"/>
      <c r="AA13" s="19"/>
      <c r="AB13" s="20"/>
      <c r="AC13" s="18"/>
      <c r="AD13" s="20"/>
      <c r="AE13" s="20"/>
      <c r="AF13" s="20"/>
      <c r="AG13" s="20"/>
      <c r="AH13" s="18"/>
      <c r="AI13" s="18"/>
      <c r="AJ13" s="18"/>
      <c r="AK13" s="18"/>
      <c r="AL13" s="18"/>
      <c r="AM13" s="19"/>
      <c r="AN13" s="18"/>
      <c r="AO13" s="18"/>
      <c r="AP13" s="14" t="str">
        <f aca="false">IF(COUNT(O13,R13:T13)=0,"",AVERAGE(O13,R13:T13))</f>
        <v/>
      </c>
      <c r="AQ13" s="15" t="str">
        <f aca="false">IF(OR(X13="",O13="",S13="",O13=S13),"",(X13-S13)/(O13-S13))</f>
        <v/>
      </c>
      <c r="AR13" s="14" t="str">
        <f aca="false">IF(OR(X13="",AP13=""),"",ABS(X13-AP13))</f>
        <v/>
      </c>
      <c r="AS13" s="14" t="str">
        <f aca="false">IF(OR(X13="",AE13=""),"",ABS(X13-AE13))</f>
        <v/>
      </c>
      <c r="AT13" s="16" t="str">
        <f aca="false">IF(OR(AR13="",AS13=""),"",IF(AS13&lt;AR13,"National avg",IF(AR13&lt;AS13,"Record midpoint","Tie")))</f>
        <v/>
      </c>
      <c r="AU13" s="14" t="str">
        <f aca="false">IF(OR(X13="",Z13=""),"",X13-Z13)</f>
        <v/>
      </c>
      <c r="AV13" s="14" t="str">
        <f aca="false">IF(OR(X13="",AF13=""),"",X13-AF13)</f>
        <v/>
      </c>
      <c r="AW13" s="14" t="str">
        <f aca="false">IF(X13="","",X13+IF(Y13="",0,Y13)/10000)</f>
        <v/>
      </c>
      <c r="AX13" s="15" t="str">
        <f aca="false">IF(OR(X13="",V13="",W13="",W13=V13),"",(X13-V13)/(W13-V13))</f>
        <v/>
      </c>
      <c r="AY13" s="14" t="str">
        <f aca="false">IF(OR(X13="",Z13=""),"",ABS(X13-Z13))</f>
        <v/>
      </c>
      <c r="AZ13" s="14" t="str">
        <f aca="false">IF(OR(X13="",U13=""),"",ABS(X13-U13))</f>
        <v/>
      </c>
      <c r="BA13" s="16" t="str">
        <f aca="false">IF(COUNT(AR13,AS13,AY13,AZ13)&lt;2,"",IF(AR13=MIN(AR13,AS13,AY13,AZ13),"Record midpoint",IF(AS13=MIN(AR13,AS13,AY13,AZ13),"National avg",IF(AY13=MIN(AR13,AS13,AY13,AZ13),"Prior award","ALJ"))))</f>
        <v/>
      </c>
      <c r="BB13" s="17" t="str">
        <f aca="false">IF(OR(K13="",AA13=""),"",(K13-AA13)/30.4375)</f>
        <v/>
      </c>
      <c r="BC13" s="14" t="str">
        <f aca="false">IF(OR(AF13="",AB13=""),"",AF13-AB13)</f>
        <v/>
      </c>
      <c r="BD13" s="14" t="str">
        <f aca="false">IF(OR(O13="",N13=""),"",O13-N13)</f>
        <v/>
      </c>
      <c r="BE13" s="16" t="str">
        <f aca="false">IF(K13="","",IF(K13&lt;DATE(2022,1,1),"Pre (2019-21)",IF(K13&lt;DATE(2023,1,1),"Transition (2022)","Post (2023-)")))</f>
        <v/>
      </c>
    </row>
    <row r="14" customFormat="false" ht="15" hidden="false" customHeight="false" outlineLevel="0" collapsed="false">
      <c r="A14" s="18" t="s">
        <v>132</v>
      </c>
      <c r="B14" s="18"/>
      <c r="C14" s="18"/>
      <c r="D14" s="18"/>
      <c r="E14" s="18"/>
      <c r="F14" s="18"/>
      <c r="G14" s="18"/>
      <c r="H14" s="18"/>
      <c r="I14" s="18"/>
      <c r="J14" s="19"/>
      <c r="K14" s="19"/>
      <c r="L14" s="18"/>
      <c r="M14" s="18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0"/>
      <c r="AA14" s="19"/>
      <c r="AB14" s="20"/>
      <c r="AC14" s="18"/>
      <c r="AD14" s="20"/>
      <c r="AE14" s="20"/>
      <c r="AF14" s="20"/>
      <c r="AG14" s="20"/>
      <c r="AH14" s="18"/>
      <c r="AI14" s="18"/>
      <c r="AJ14" s="18"/>
      <c r="AK14" s="18"/>
      <c r="AL14" s="18"/>
      <c r="AM14" s="19"/>
      <c r="AN14" s="18"/>
      <c r="AO14" s="18"/>
      <c r="AP14" s="14" t="str">
        <f aca="false">IF(COUNT(O14,R14:T14)=0,"",AVERAGE(O14,R14:T14))</f>
        <v/>
      </c>
      <c r="AQ14" s="15" t="str">
        <f aca="false">IF(OR(X14="",O14="",S14="",O14=S14),"",(X14-S14)/(O14-S14))</f>
        <v/>
      </c>
      <c r="AR14" s="14" t="str">
        <f aca="false">IF(OR(X14="",AP14=""),"",ABS(X14-AP14))</f>
        <v/>
      </c>
      <c r="AS14" s="14" t="str">
        <f aca="false">IF(OR(X14="",AE14=""),"",ABS(X14-AE14))</f>
        <v/>
      </c>
      <c r="AT14" s="16" t="str">
        <f aca="false">IF(OR(AR14="",AS14=""),"",IF(AS14&lt;AR14,"National avg",IF(AR14&lt;AS14,"Record midpoint","Tie")))</f>
        <v/>
      </c>
      <c r="AU14" s="14" t="str">
        <f aca="false">IF(OR(X14="",Z14=""),"",X14-Z14)</f>
        <v/>
      </c>
      <c r="AV14" s="14" t="str">
        <f aca="false">IF(OR(X14="",AF14=""),"",X14-AF14)</f>
        <v/>
      </c>
      <c r="AW14" s="14" t="str">
        <f aca="false">IF(X14="","",X14+IF(Y14="",0,Y14)/10000)</f>
        <v/>
      </c>
      <c r="AX14" s="15" t="str">
        <f aca="false">IF(OR(X14="",V14="",W14="",W14=V14),"",(X14-V14)/(W14-V14))</f>
        <v/>
      </c>
      <c r="AY14" s="14" t="str">
        <f aca="false">IF(OR(X14="",Z14=""),"",ABS(X14-Z14))</f>
        <v/>
      </c>
      <c r="AZ14" s="14" t="str">
        <f aca="false">IF(OR(X14="",U14=""),"",ABS(X14-U14))</f>
        <v/>
      </c>
      <c r="BA14" s="16" t="str">
        <f aca="false">IF(COUNT(AR14,AS14,AY14,AZ14)&lt;2,"",IF(AR14=MIN(AR14,AS14,AY14,AZ14),"Record midpoint",IF(AS14=MIN(AR14,AS14,AY14,AZ14),"National avg",IF(AY14=MIN(AR14,AS14,AY14,AZ14),"Prior award","ALJ"))))</f>
        <v/>
      </c>
      <c r="BB14" s="17" t="str">
        <f aca="false">IF(OR(K14="",AA14=""),"",(K14-AA14)/30.4375)</f>
        <v/>
      </c>
      <c r="BC14" s="14" t="str">
        <f aca="false">IF(OR(AF14="",AB14=""),"",AF14-AB14)</f>
        <v/>
      </c>
      <c r="BD14" s="14" t="str">
        <f aca="false">IF(OR(O14="",N14=""),"",O14-N14)</f>
        <v/>
      </c>
      <c r="BE14" s="16" t="str">
        <f aca="false">IF(K14="","",IF(K14&lt;DATE(2022,1,1),"Pre (2019-21)",IF(K14&lt;DATE(2023,1,1),"Transition (2022)","Post (2023-)")))</f>
        <v/>
      </c>
    </row>
    <row r="15" customFormat="false" ht="15" hidden="false" customHeight="false" outlineLevel="0" collapsed="false">
      <c r="A15" s="18" t="s">
        <v>133</v>
      </c>
      <c r="B15" s="18"/>
      <c r="C15" s="18"/>
      <c r="D15" s="18"/>
      <c r="E15" s="18"/>
      <c r="F15" s="18"/>
      <c r="G15" s="18"/>
      <c r="H15" s="18"/>
      <c r="I15" s="18"/>
      <c r="J15" s="19"/>
      <c r="K15" s="19"/>
      <c r="L15" s="18"/>
      <c r="M15" s="18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0"/>
      <c r="AA15" s="19"/>
      <c r="AB15" s="20"/>
      <c r="AC15" s="18"/>
      <c r="AD15" s="20"/>
      <c r="AE15" s="20"/>
      <c r="AF15" s="20"/>
      <c r="AG15" s="20"/>
      <c r="AH15" s="18"/>
      <c r="AI15" s="18"/>
      <c r="AJ15" s="18"/>
      <c r="AK15" s="18"/>
      <c r="AL15" s="18"/>
      <c r="AM15" s="19"/>
      <c r="AN15" s="18"/>
      <c r="AO15" s="18"/>
      <c r="AP15" s="14" t="str">
        <f aca="false">IF(COUNT(O15,R15:T15)=0,"",AVERAGE(O15,R15:T15))</f>
        <v/>
      </c>
      <c r="AQ15" s="15" t="str">
        <f aca="false">IF(OR(X15="",O15="",S15="",O15=S15),"",(X15-S15)/(O15-S15))</f>
        <v/>
      </c>
      <c r="AR15" s="14" t="str">
        <f aca="false">IF(OR(X15="",AP15=""),"",ABS(X15-AP15))</f>
        <v/>
      </c>
      <c r="AS15" s="14" t="str">
        <f aca="false">IF(OR(X15="",AE15=""),"",ABS(X15-AE15))</f>
        <v/>
      </c>
      <c r="AT15" s="16" t="str">
        <f aca="false">IF(OR(AR15="",AS15=""),"",IF(AS15&lt;AR15,"National avg",IF(AR15&lt;AS15,"Record midpoint","Tie")))</f>
        <v/>
      </c>
      <c r="AU15" s="14" t="str">
        <f aca="false">IF(OR(X15="",Z15=""),"",X15-Z15)</f>
        <v/>
      </c>
      <c r="AV15" s="14" t="str">
        <f aca="false">IF(OR(X15="",AF15=""),"",X15-AF15)</f>
        <v/>
      </c>
      <c r="AW15" s="14" t="str">
        <f aca="false">IF(X15="","",X15+IF(Y15="",0,Y15)/10000)</f>
        <v/>
      </c>
      <c r="AX15" s="15" t="str">
        <f aca="false">IF(OR(X15="",V15="",W15="",W15=V15),"",(X15-V15)/(W15-V15))</f>
        <v/>
      </c>
      <c r="AY15" s="14" t="str">
        <f aca="false">IF(OR(X15="",Z15=""),"",ABS(X15-Z15))</f>
        <v/>
      </c>
      <c r="AZ15" s="14" t="str">
        <f aca="false">IF(OR(X15="",U15=""),"",ABS(X15-U15))</f>
        <v/>
      </c>
      <c r="BA15" s="16" t="str">
        <f aca="false">IF(COUNT(AR15,AS15,AY15,AZ15)&lt;2,"",IF(AR15=MIN(AR15,AS15,AY15,AZ15),"Record midpoint",IF(AS15=MIN(AR15,AS15,AY15,AZ15),"National avg",IF(AY15=MIN(AR15,AS15,AY15,AZ15),"Prior award","ALJ"))))</f>
        <v/>
      </c>
      <c r="BB15" s="17" t="str">
        <f aca="false">IF(OR(K15="",AA15=""),"",(K15-AA15)/30.4375)</f>
        <v/>
      </c>
      <c r="BC15" s="14" t="str">
        <f aca="false">IF(OR(AF15="",AB15=""),"",AF15-AB15)</f>
        <v/>
      </c>
      <c r="BD15" s="14" t="str">
        <f aca="false">IF(OR(O15="",N15=""),"",O15-N15)</f>
        <v/>
      </c>
      <c r="BE15" s="16" t="str">
        <f aca="false">IF(K15="","",IF(K15&lt;DATE(2022,1,1),"Pre (2019-21)",IF(K15&lt;DATE(2023,1,1),"Transition (2022)","Post (2023-)")))</f>
        <v/>
      </c>
    </row>
    <row r="16" customFormat="false" ht="15" hidden="false" customHeight="false" outlineLevel="0" collapsed="false">
      <c r="A16" s="18" t="s">
        <v>134</v>
      </c>
      <c r="B16" s="18"/>
      <c r="C16" s="18"/>
      <c r="D16" s="18"/>
      <c r="E16" s="18"/>
      <c r="F16" s="18"/>
      <c r="G16" s="18"/>
      <c r="H16" s="18"/>
      <c r="I16" s="18"/>
      <c r="J16" s="19"/>
      <c r="K16" s="19"/>
      <c r="L16" s="18"/>
      <c r="M16" s="18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0"/>
      <c r="AA16" s="19"/>
      <c r="AB16" s="20"/>
      <c r="AC16" s="18"/>
      <c r="AD16" s="20"/>
      <c r="AE16" s="20"/>
      <c r="AF16" s="20"/>
      <c r="AG16" s="20"/>
      <c r="AH16" s="18"/>
      <c r="AI16" s="18"/>
      <c r="AJ16" s="18"/>
      <c r="AK16" s="18"/>
      <c r="AL16" s="18"/>
      <c r="AM16" s="19"/>
      <c r="AN16" s="18"/>
      <c r="AO16" s="18"/>
      <c r="AP16" s="14" t="str">
        <f aca="false">IF(COUNT(O16,R16:T16)=0,"",AVERAGE(O16,R16:T16))</f>
        <v/>
      </c>
      <c r="AQ16" s="15" t="str">
        <f aca="false">IF(OR(X16="",O16="",S16="",O16=S16),"",(X16-S16)/(O16-S16))</f>
        <v/>
      </c>
      <c r="AR16" s="14" t="str">
        <f aca="false">IF(OR(X16="",AP16=""),"",ABS(X16-AP16))</f>
        <v/>
      </c>
      <c r="AS16" s="14" t="str">
        <f aca="false">IF(OR(X16="",AE16=""),"",ABS(X16-AE16))</f>
        <v/>
      </c>
      <c r="AT16" s="16" t="str">
        <f aca="false">IF(OR(AR16="",AS16=""),"",IF(AS16&lt;AR16,"National avg",IF(AR16&lt;AS16,"Record midpoint","Tie")))</f>
        <v/>
      </c>
      <c r="AU16" s="14" t="str">
        <f aca="false">IF(OR(X16="",Z16=""),"",X16-Z16)</f>
        <v/>
      </c>
      <c r="AV16" s="14" t="str">
        <f aca="false">IF(OR(X16="",AF16=""),"",X16-AF16)</f>
        <v/>
      </c>
      <c r="AW16" s="14" t="str">
        <f aca="false">IF(X16="","",X16+IF(Y16="",0,Y16)/10000)</f>
        <v/>
      </c>
      <c r="AX16" s="15" t="str">
        <f aca="false">IF(OR(X16="",V16="",W16="",W16=V16),"",(X16-V16)/(W16-V16))</f>
        <v/>
      </c>
      <c r="AY16" s="14" t="str">
        <f aca="false">IF(OR(X16="",Z16=""),"",ABS(X16-Z16))</f>
        <v/>
      </c>
      <c r="AZ16" s="14" t="str">
        <f aca="false">IF(OR(X16="",U16=""),"",ABS(X16-U16))</f>
        <v/>
      </c>
      <c r="BA16" s="16" t="str">
        <f aca="false">IF(COUNT(AR16,AS16,AY16,AZ16)&lt;2,"",IF(AR16=MIN(AR16,AS16,AY16,AZ16),"Record midpoint",IF(AS16=MIN(AR16,AS16,AY16,AZ16),"National avg",IF(AY16=MIN(AR16,AS16,AY16,AZ16),"Prior award","ALJ"))))</f>
        <v/>
      </c>
      <c r="BB16" s="17" t="str">
        <f aca="false">IF(OR(K16="",AA16=""),"",(K16-AA16)/30.4375)</f>
        <v/>
      </c>
      <c r="BC16" s="14" t="str">
        <f aca="false">IF(OR(AF16="",AB16=""),"",AF16-AB16)</f>
        <v/>
      </c>
      <c r="BD16" s="14" t="str">
        <f aca="false">IF(OR(O16="",N16=""),"",O16-N16)</f>
        <v/>
      </c>
      <c r="BE16" s="16" t="str">
        <f aca="false">IF(K16="","",IF(K16&lt;DATE(2022,1,1),"Pre (2019-21)",IF(K16&lt;DATE(2023,1,1),"Transition (2022)","Post (2023-)")))</f>
        <v/>
      </c>
    </row>
    <row r="17" customFormat="false" ht="15" hidden="false" customHeight="false" outlineLevel="0" collapsed="false">
      <c r="A17" s="18" t="s">
        <v>135</v>
      </c>
      <c r="B17" s="18"/>
      <c r="C17" s="18"/>
      <c r="D17" s="18"/>
      <c r="E17" s="18"/>
      <c r="F17" s="18"/>
      <c r="G17" s="18"/>
      <c r="H17" s="18"/>
      <c r="I17" s="18"/>
      <c r="J17" s="19"/>
      <c r="K17" s="19"/>
      <c r="L17" s="18"/>
      <c r="M17" s="18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0"/>
      <c r="AA17" s="19"/>
      <c r="AB17" s="20"/>
      <c r="AC17" s="18"/>
      <c r="AD17" s="20"/>
      <c r="AE17" s="20"/>
      <c r="AF17" s="20"/>
      <c r="AG17" s="20"/>
      <c r="AH17" s="18"/>
      <c r="AI17" s="18"/>
      <c r="AJ17" s="18"/>
      <c r="AK17" s="18"/>
      <c r="AL17" s="18"/>
      <c r="AM17" s="19"/>
      <c r="AN17" s="18"/>
      <c r="AO17" s="18"/>
      <c r="AP17" s="14" t="str">
        <f aca="false">IF(COUNT(O17,R17:T17)=0,"",AVERAGE(O17,R17:T17))</f>
        <v/>
      </c>
      <c r="AQ17" s="15" t="str">
        <f aca="false">IF(OR(X17="",O17="",S17="",O17=S17),"",(X17-S17)/(O17-S17))</f>
        <v/>
      </c>
      <c r="AR17" s="14" t="str">
        <f aca="false">IF(OR(X17="",AP17=""),"",ABS(X17-AP17))</f>
        <v/>
      </c>
      <c r="AS17" s="14" t="str">
        <f aca="false">IF(OR(X17="",AE17=""),"",ABS(X17-AE17))</f>
        <v/>
      </c>
      <c r="AT17" s="16" t="str">
        <f aca="false">IF(OR(AR17="",AS17=""),"",IF(AS17&lt;AR17,"National avg",IF(AR17&lt;AS17,"Record midpoint","Tie")))</f>
        <v/>
      </c>
      <c r="AU17" s="14" t="str">
        <f aca="false">IF(OR(X17="",Z17=""),"",X17-Z17)</f>
        <v/>
      </c>
      <c r="AV17" s="14" t="str">
        <f aca="false">IF(OR(X17="",AF17=""),"",X17-AF17)</f>
        <v/>
      </c>
      <c r="AW17" s="14" t="str">
        <f aca="false">IF(X17="","",X17+IF(Y17="",0,Y17)/10000)</f>
        <v/>
      </c>
      <c r="AX17" s="15" t="str">
        <f aca="false">IF(OR(X17="",V17="",W17="",W17=V17),"",(X17-V17)/(W17-V17))</f>
        <v/>
      </c>
      <c r="AY17" s="14" t="str">
        <f aca="false">IF(OR(X17="",Z17=""),"",ABS(X17-Z17))</f>
        <v/>
      </c>
      <c r="AZ17" s="14" t="str">
        <f aca="false">IF(OR(X17="",U17=""),"",ABS(X17-U17))</f>
        <v/>
      </c>
      <c r="BA17" s="16" t="str">
        <f aca="false">IF(COUNT(AR17,AS17,AY17,AZ17)&lt;2,"",IF(AR17=MIN(AR17,AS17,AY17,AZ17),"Record midpoint",IF(AS17=MIN(AR17,AS17,AY17,AZ17),"National avg",IF(AY17=MIN(AR17,AS17,AY17,AZ17),"Prior award","ALJ"))))</f>
        <v/>
      </c>
      <c r="BB17" s="17" t="str">
        <f aca="false">IF(OR(K17="",AA17=""),"",(K17-AA17)/30.4375)</f>
        <v/>
      </c>
      <c r="BC17" s="14" t="str">
        <f aca="false">IF(OR(AF17="",AB17=""),"",AF17-AB17)</f>
        <v/>
      </c>
      <c r="BD17" s="14" t="str">
        <f aca="false">IF(OR(O17="",N17=""),"",O17-N17)</f>
        <v/>
      </c>
      <c r="BE17" s="16" t="str">
        <f aca="false">IF(K17="","",IF(K17&lt;DATE(2022,1,1),"Pre (2019-21)",IF(K17&lt;DATE(2023,1,1),"Transition (2022)","Post (2023-)")))</f>
        <v/>
      </c>
    </row>
  </sheetData>
  <dataValidations count="10">
    <dataValidation allowBlank="true" errorStyle="stop" operator="between" showDropDown="false" showErrorMessage="false" showInputMessage="false" sqref="C2:C17" type="list">
      <formula1>Lists!$A$2:$A$7</formula1>
      <formula2>0</formula2>
    </dataValidation>
    <dataValidation allowBlank="true" errorStyle="stop" operator="between" showDropDown="false" showErrorMessage="false" showInputMessage="false" sqref="G2:G17" type="list">
      <formula1>Lists!$B$2:$B$4</formula1>
      <formula2>0</formula2>
    </dataValidation>
    <dataValidation allowBlank="true" errorStyle="stop" operator="between" showDropDown="false" showErrorMessage="false" showInputMessage="false" sqref="H2:H17" type="list">
      <formula1>Lists!$C$2:$C$5</formula1>
      <formula2>0</formula2>
    </dataValidation>
    <dataValidation allowBlank="true" errorStyle="stop" operator="between" showDropDown="false" showErrorMessage="false" showInputMessage="false" sqref="I2:I17" type="list">
      <formula1>Lists!$D$2:$D$4</formula1>
      <formula2>0</formula2>
    </dataValidation>
    <dataValidation allowBlank="true" errorStyle="stop" operator="between" showDropDown="false" showErrorMessage="false" showInputMessage="false" sqref="AC2:AC17" type="list">
      <formula1>Lists!$E$2:$E$3</formula1>
      <formula2>0</formula2>
    </dataValidation>
    <dataValidation allowBlank="true" errorStyle="stop" operator="between" showDropDown="false" showErrorMessage="false" showInputMessage="false" sqref="AJ2:AJ17" type="list">
      <formula1>Lists!$E$2:$E$3</formula1>
      <formula2>0</formula2>
    </dataValidation>
    <dataValidation allowBlank="true" errorStyle="stop" operator="between" showDropDown="false" showErrorMessage="false" showInputMessage="false" sqref="AK2:AK17" type="list">
      <formula1>Lists!$F$2:$F$3</formula1>
      <formula2>0</formula2>
    </dataValidation>
    <dataValidation allowBlank="true" errorStyle="stop" operator="between" showDropDown="false" showErrorMessage="false" showInputMessage="false" sqref="AI2:AI17" type="list">
      <formula1>Lists!$J$2:$J$12</formula1>
      <formula2>0</formula2>
    </dataValidation>
    <dataValidation allowBlank="true" errorStyle="stop" operator="between" showDropDown="false" showErrorMessage="false" showInputMessage="false" sqref="B2:B17" type="list">
      <formula1>Lists!$L$2:$L$4</formula1>
      <formula2>0</formula2>
    </dataValidation>
    <dataValidation allowBlank="true" errorStyle="stop" operator="between" showDropDown="false" showErrorMessage="false" showInputMessage="false" sqref="AH2:AH17" type="list">
      <formula1>Lists!$E$2:$E$3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70"/>
    <col collapsed="false" customWidth="true" hidden="false" outlineLevel="0" max="6" min="6" style="0" width="6"/>
    <col collapsed="false" customWidth="true" hidden="false" outlineLevel="0" max="7" min="7" style="0" width="15"/>
    <col collapsed="false" customWidth="true" hidden="false" outlineLevel="0" max="17" min="8" style="0" width="6"/>
    <col collapsed="false" customWidth="true" hidden="false" outlineLevel="0" max="18" min="18" style="0" width="11"/>
    <col collapsed="false" customWidth="true" hidden="false" outlineLevel="0" max="19" min="19" style="0" width="15"/>
    <col collapsed="false" customWidth="true" hidden="false" outlineLevel="0" max="20" min="20" style="0" width="9"/>
    <col collapsed="false" customWidth="true" hidden="false" outlineLevel="0" max="21" min="21" style="0" width="40"/>
  </cols>
  <sheetData>
    <row r="1" customFormat="false" ht="23.85" hidden="false" customHeight="false" outlineLevel="0" collapsed="false">
      <c r="A1" s="8" t="s">
        <v>136</v>
      </c>
      <c r="B1" s="8" t="s">
        <v>53</v>
      </c>
      <c r="C1" s="8" t="s">
        <v>137</v>
      </c>
      <c r="D1" s="8" t="s">
        <v>138</v>
      </c>
      <c r="E1" s="8" t="s">
        <v>139</v>
      </c>
      <c r="F1" s="8" t="s">
        <v>140</v>
      </c>
      <c r="G1" s="8" t="s">
        <v>141</v>
      </c>
      <c r="H1" s="8" t="s">
        <v>142</v>
      </c>
      <c r="I1" s="8" t="s">
        <v>143</v>
      </c>
      <c r="J1" s="8" t="s">
        <v>144</v>
      </c>
      <c r="K1" s="8" t="s">
        <v>145</v>
      </c>
      <c r="L1" s="8" t="s">
        <v>146</v>
      </c>
      <c r="M1" s="8" t="s">
        <v>147</v>
      </c>
      <c r="N1" s="8" t="s">
        <v>148</v>
      </c>
      <c r="O1" s="8" t="s">
        <v>149</v>
      </c>
      <c r="P1" s="8" t="s">
        <v>150</v>
      </c>
      <c r="Q1" s="8" t="s">
        <v>151</v>
      </c>
      <c r="R1" s="8" t="s">
        <v>152</v>
      </c>
      <c r="S1" s="8" t="s">
        <v>153</v>
      </c>
      <c r="T1" s="8" t="s">
        <v>90</v>
      </c>
      <c r="U1" s="8" t="s">
        <v>154</v>
      </c>
    </row>
    <row r="2" customFormat="false" ht="60" hidden="false" customHeight="true" outlineLevel="0" collapsed="false">
      <c r="A2" s="22" t="s">
        <v>155</v>
      </c>
      <c r="B2" s="22" t="s">
        <v>110</v>
      </c>
      <c r="C2" s="22" t="s">
        <v>156</v>
      </c>
      <c r="D2" s="22" t="s">
        <v>157</v>
      </c>
      <c r="E2" s="10" t="s">
        <v>158</v>
      </c>
      <c r="F2" s="22" t="n">
        <v>0</v>
      </c>
      <c r="G2" s="22" t="s">
        <v>159</v>
      </c>
      <c r="H2" s="22" t="n">
        <v>0</v>
      </c>
      <c r="I2" s="22" t="n">
        <v>0</v>
      </c>
      <c r="J2" s="22" t="n">
        <v>0</v>
      </c>
      <c r="K2" s="22" t="n">
        <v>0</v>
      </c>
      <c r="L2" s="22" t="n">
        <v>0</v>
      </c>
      <c r="M2" s="22" t="n">
        <v>0</v>
      </c>
      <c r="N2" s="22" t="n">
        <v>0</v>
      </c>
      <c r="O2" s="22" t="n">
        <v>0</v>
      </c>
      <c r="P2" s="22" t="n">
        <v>0</v>
      </c>
      <c r="Q2" s="22" t="n">
        <v>1</v>
      </c>
      <c r="R2" s="22" t="s">
        <v>151</v>
      </c>
      <c r="S2" s="22" t="s">
        <v>160</v>
      </c>
      <c r="T2" s="22" t="s">
        <v>119</v>
      </c>
      <c r="U2" s="10" t="s">
        <v>161</v>
      </c>
    </row>
    <row r="3" customFormat="false" ht="15" hidden="false" customHeight="false" outlineLevel="0" collapsed="false">
      <c r="A3" s="23"/>
      <c r="B3" s="23"/>
      <c r="C3" s="23"/>
      <c r="D3" s="23"/>
      <c r="E3" s="1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18"/>
    </row>
    <row r="4" customFormat="false" ht="15" hidden="false" customHeight="false" outlineLevel="0" collapsed="false">
      <c r="A4" s="23"/>
      <c r="B4" s="23"/>
      <c r="C4" s="23"/>
      <c r="D4" s="23"/>
      <c r="E4" s="18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18"/>
    </row>
    <row r="5" customFormat="false" ht="15" hidden="false" customHeight="false" outlineLevel="0" collapsed="false">
      <c r="A5" s="23"/>
      <c r="B5" s="23"/>
      <c r="C5" s="23"/>
      <c r="D5" s="23"/>
      <c r="E5" s="18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18"/>
    </row>
    <row r="6" customFormat="false" ht="15" hidden="false" customHeight="false" outlineLevel="0" collapsed="false">
      <c r="A6" s="23"/>
      <c r="B6" s="23"/>
      <c r="C6" s="23"/>
      <c r="D6" s="23"/>
      <c r="E6" s="18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18"/>
    </row>
    <row r="7" customFormat="false" ht="15" hidden="false" customHeight="false" outlineLevel="0" collapsed="false">
      <c r="A7" s="23"/>
      <c r="B7" s="23"/>
      <c r="C7" s="23"/>
      <c r="D7" s="23"/>
      <c r="E7" s="18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18"/>
    </row>
    <row r="8" customFormat="false" ht="15" hidden="false" customHeight="false" outlineLevel="0" collapsed="false">
      <c r="A8" s="23"/>
      <c r="B8" s="23"/>
      <c r="C8" s="23"/>
      <c r="D8" s="23"/>
      <c r="E8" s="18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18"/>
    </row>
    <row r="9" customFormat="false" ht="15" hidden="false" customHeight="false" outlineLevel="0" collapsed="false">
      <c r="A9" s="23"/>
      <c r="B9" s="23"/>
      <c r="C9" s="23"/>
      <c r="D9" s="23"/>
      <c r="E9" s="18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18"/>
    </row>
    <row r="10" customFormat="false" ht="15" hidden="false" customHeight="false" outlineLevel="0" collapsed="false">
      <c r="A10" s="23"/>
      <c r="B10" s="23"/>
      <c r="C10" s="23"/>
      <c r="D10" s="23"/>
      <c r="E10" s="18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18"/>
    </row>
    <row r="11" customFormat="false" ht="15" hidden="false" customHeight="false" outlineLevel="0" collapsed="false">
      <c r="A11" s="23"/>
      <c r="B11" s="23"/>
      <c r="C11" s="23"/>
      <c r="D11" s="23"/>
      <c r="E11" s="18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18"/>
    </row>
    <row r="12" customFormat="false" ht="15" hidden="false" customHeight="false" outlineLevel="0" collapsed="false">
      <c r="A12" s="23"/>
      <c r="B12" s="23"/>
      <c r="C12" s="23"/>
      <c r="D12" s="23"/>
      <c r="E12" s="18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18"/>
    </row>
    <row r="13" customFormat="false" ht="15" hidden="false" customHeight="false" outlineLevel="0" collapsed="false">
      <c r="A13" s="23"/>
      <c r="B13" s="23"/>
      <c r="C13" s="23"/>
      <c r="D13" s="23"/>
      <c r="E13" s="18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18"/>
    </row>
    <row r="14" customFormat="false" ht="15" hidden="false" customHeight="false" outlineLevel="0" collapsed="false">
      <c r="A14" s="23"/>
      <c r="B14" s="23"/>
      <c r="C14" s="23"/>
      <c r="D14" s="23"/>
      <c r="E14" s="18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18"/>
    </row>
    <row r="15" customFormat="false" ht="15" hidden="false" customHeight="false" outlineLevel="0" collapsed="false">
      <c r="A15" s="23"/>
      <c r="B15" s="23"/>
      <c r="C15" s="23"/>
      <c r="D15" s="23"/>
      <c r="E15" s="18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18"/>
    </row>
    <row r="16" customFormat="false" ht="15" hidden="false" customHeight="false" outlineLevel="0" collapsed="false">
      <c r="A16" s="23"/>
      <c r="B16" s="23"/>
      <c r="C16" s="23"/>
      <c r="D16" s="23"/>
      <c r="E16" s="18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18"/>
    </row>
    <row r="17" customFormat="false" ht="15" hidden="false" customHeight="false" outlineLevel="0" collapsed="false">
      <c r="A17" s="23"/>
      <c r="B17" s="23"/>
      <c r="C17" s="23"/>
      <c r="D17" s="23"/>
      <c r="E17" s="18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18"/>
    </row>
    <row r="18" customFormat="false" ht="15" hidden="false" customHeight="false" outlineLevel="0" collapsed="false">
      <c r="A18" s="23"/>
      <c r="B18" s="23"/>
      <c r="C18" s="23"/>
      <c r="D18" s="23"/>
      <c r="E18" s="18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18"/>
    </row>
    <row r="19" customFormat="false" ht="15" hidden="false" customHeight="false" outlineLevel="0" collapsed="false">
      <c r="A19" s="23"/>
      <c r="B19" s="23"/>
      <c r="C19" s="23"/>
      <c r="D19" s="23"/>
      <c r="E19" s="18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18"/>
    </row>
    <row r="20" customFormat="false" ht="15" hidden="false" customHeight="false" outlineLevel="0" collapsed="false">
      <c r="A20" s="23"/>
      <c r="B20" s="23"/>
      <c r="C20" s="23"/>
      <c r="D20" s="23"/>
      <c r="E20" s="18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18"/>
    </row>
    <row r="21" customFormat="false" ht="15" hidden="false" customHeight="false" outlineLevel="0" collapsed="false">
      <c r="A21" s="23"/>
      <c r="B21" s="23"/>
      <c r="C21" s="23"/>
      <c r="D21" s="23"/>
      <c r="E21" s="18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18"/>
    </row>
    <row r="22" customFormat="false" ht="15" hidden="false" customHeight="false" outlineLevel="0" collapsed="false">
      <c r="A22" s="23"/>
      <c r="B22" s="23"/>
      <c r="C22" s="23"/>
      <c r="D22" s="23"/>
      <c r="E22" s="18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18"/>
    </row>
    <row r="23" customFormat="false" ht="15" hidden="false" customHeight="false" outlineLevel="0" collapsed="false">
      <c r="A23" s="23"/>
      <c r="B23" s="23"/>
      <c r="C23" s="23"/>
      <c r="D23" s="23"/>
      <c r="E23" s="18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18"/>
    </row>
    <row r="24" customFormat="false" ht="15" hidden="false" customHeight="false" outlineLevel="0" collapsed="false">
      <c r="A24" s="23"/>
      <c r="B24" s="23"/>
      <c r="C24" s="23"/>
      <c r="D24" s="23"/>
      <c r="E24" s="18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18"/>
    </row>
    <row r="25" customFormat="false" ht="15" hidden="false" customHeight="false" outlineLevel="0" collapsed="false">
      <c r="A25" s="23"/>
      <c r="B25" s="23"/>
      <c r="C25" s="23"/>
      <c r="D25" s="23"/>
      <c r="E25" s="18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18"/>
    </row>
    <row r="26" customFormat="false" ht="15" hidden="false" customHeight="false" outlineLevel="0" collapsed="false">
      <c r="A26" s="23"/>
      <c r="B26" s="23"/>
      <c r="C26" s="23"/>
      <c r="D26" s="23"/>
      <c r="E26" s="18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18"/>
    </row>
    <row r="27" customFormat="false" ht="15" hidden="false" customHeight="false" outlineLevel="0" collapsed="false">
      <c r="A27" s="23"/>
      <c r="B27" s="23"/>
      <c r="C27" s="23"/>
      <c r="D27" s="23"/>
      <c r="E27" s="18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18"/>
    </row>
    <row r="28" customFormat="false" ht="15" hidden="false" customHeight="false" outlineLevel="0" collapsed="false">
      <c r="A28" s="23"/>
      <c r="B28" s="23"/>
      <c r="C28" s="23"/>
      <c r="D28" s="23"/>
      <c r="E28" s="18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18"/>
    </row>
    <row r="29" customFormat="false" ht="15" hidden="false" customHeight="false" outlineLevel="0" collapsed="false">
      <c r="A29" s="23"/>
      <c r="B29" s="23"/>
      <c r="C29" s="23"/>
      <c r="D29" s="23"/>
      <c r="E29" s="18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18"/>
    </row>
    <row r="30" customFormat="false" ht="15" hidden="false" customHeight="false" outlineLevel="0" collapsed="false">
      <c r="A30" s="23"/>
      <c r="B30" s="23"/>
      <c r="C30" s="23"/>
      <c r="D30" s="23"/>
      <c r="E30" s="18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8"/>
    </row>
    <row r="31" customFormat="false" ht="15" hidden="false" customHeight="false" outlineLevel="0" collapsed="false">
      <c r="A31" s="23"/>
      <c r="B31" s="23"/>
      <c r="C31" s="23"/>
      <c r="D31" s="23"/>
      <c r="E31" s="18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18"/>
    </row>
    <row r="32" customFormat="false" ht="15" hidden="false" customHeight="false" outlineLevel="0" collapsed="false">
      <c r="A32" s="23"/>
      <c r="B32" s="23"/>
      <c r="C32" s="23"/>
      <c r="D32" s="23"/>
      <c r="E32" s="18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18"/>
    </row>
    <row r="33" customFormat="false" ht="15" hidden="false" customHeight="false" outlineLevel="0" collapsed="false">
      <c r="A33" s="23"/>
      <c r="B33" s="23"/>
      <c r="C33" s="23"/>
      <c r="D33" s="23"/>
      <c r="E33" s="18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18"/>
    </row>
    <row r="34" customFormat="false" ht="15" hidden="false" customHeight="false" outlineLevel="0" collapsed="false">
      <c r="A34" s="23"/>
      <c r="B34" s="23"/>
      <c r="C34" s="23"/>
      <c r="D34" s="23"/>
      <c r="E34" s="18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18"/>
    </row>
    <row r="35" customFormat="false" ht="15" hidden="false" customHeight="false" outlineLevel="0" collapsed="false">
      <c r="A35" s="23"/>
      <c r="B35" s="23"/>
      <c r="C35" s="23"/>
      <c r="D35" s="23"/>
      <c r="E35" s="18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18"/>
    </row>
    <row r="36" customFormat="false" ht="15" hidden="false" customHeight="false" outlineLevel="0" collapsed="false">
      <c r="A36" s="23"/>
      <c r="B36" s="23"/>
      <c r="C36" s="23"/>
      <c r="D36" s="23"/>
      <c r="E36" s="18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18"/>
    </row>
    <row r="37" customFormat="false" ht="15" hidden="false" customHeight="false" outlineLevel="0" collapsed="false">
      <c r="A37" s="23"/>
      <c r="B37" s="23"/>
      <c r="C37" s="23"/>
      <c r="D37" s="23"/>
      <c r="E37" s="18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18"/>
    </row>
    <row r="38" customFormat="false" ht="15" hidden="false" customHeight="false" outlineLevel="0" collapsed="false">
      <c r="A38" s="23"/>
      <c r="B38" s="23"/>
      <c r="C38" s="23"/>
      <c r="D38" s="23"/>
      <c r="E38" s="18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18"/>
    </row>
    <row r="39" customFormat="false" ht="15" hidden="false" customHeight="false" outlineLevel="0" collapsed="false">
      <c r="A39" s="23"/>
      <c r="B39" s="23"/>
      <c r="C39" s="23"/>
      <c r="D39" s="23"/>
      <c r="E39" s="18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18"/>
    </row>
    <row r="40" customFormat="false" ht="15" hidden="false" customHeight="false" outlineLevel="0" collapsed="false">
      <c r="A40" s="23"/>
      <c r="B40" s="23"/>
      <c r="C40" s="23"/>
      <c r="D40" s="23"/>
      <c r="E40" s="18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18"/>
    </row>
    <row r="41" customFormat="false" ht="15" hidden="false" customHeight="false" outlineLevel="0" collapsed="false">
      <c r="A41" s="23"/>
      <c r="B41" s="23"/>
      <c r="C41" s="23"/>
      <c r="D41" s="23"/>
      <c r="E41" s="18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18"/>
    </row>
    <row r="42" customFormat="false" ht="15" hidden="false" customHeight="false" outlineLevel="0" collapsed="false">
      <c r="A42" s="23"/>
      <c r="B42" s="23"/>
      <c r="C42" s="23"/>
      <c r="D42" s="23"/>
      <c r="E42" s="18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18"/>
    </row>
    <row r="43" customFormat="false" ht="15" hidden="false" customHeight="false" outlineLevel="0" collapsed="false">
      <c r="A43" s="23"/>
      <c r="B43" s="23"/>
      <c r="C43" s="23"/>
      <c r="D43" s="23"/>
      <c r="E43" s="18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18"/>
    </row>
    <row r="44" customFormat="false" ht="15" hidden="false" customHeight="false" outlineLevel="0" collapsed="false">
      <c r="A44" s="23"/>
      <c r="B44" s="23"/>
      <c r="C44" s="23"/>
      <c r="D44" s="23"/>
      <c r="E44" s="18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18"/>
    </row>
    <row r="45" customFormat="false" ht="15" hidden="false" customHeight="false" outlineLevel="0" collapsed="false">
      <c r="A45" s="23"/>
      <c r="B45" s="23"/>
      <c r="C45" s="23"/>
      <c r="D45" s="23"/>
      <c r="E45" s="18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18"/>
    </row>
    <row r="46" customFormat="false" ht="15" hidden="false" customHeight="false" outlineLevel="0" collapsed="false">
      <c r="A46" s="23"/>
      <c r="B46" s="23"/>
      <c r="C46" s="23"/>
      <c r="D46" s="23"/>
      <c r="E46" s="18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18"/>
    </row>
    <row r="47" customFormat="false" ht="15" hidden="false" customHeight="false" outlineLevel="0" collapsed="false">
      <c r="A47" s="23"/>
      <c r="B47" s="23"/>
      <c r="C47" s="23"/>
      <c r="D47" s="23"/>
      <c r="E47" s="18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18"/>
    </row>
    <row r="48" customFormat="false" ht="15" hidden="false" customHeight="false" outlineLevel="0" collapsed="false">
      <c r="A48" s="23"/>
      <c r="B48" s="23"/>
      <c r="C48" s="23"/>
      <c r="D48" s="23"/>
      <c r="E48" s="1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18"/>
    </row>
    <row r="49" customFormat="false" ht="15" hidden="false" customHeight="false" outlineLevel="0" collapsed="false">
      <c r="A49" s="23"/>
      <c r="B49" s="23"/>
      <c r="C49" s="23"/>
      <c r="D49" s="23"/>
      <c r="E49" s="1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18"/>
    </row>
    <row r="50" customFormat="false" ht="15" hidden="false" customHeight="false" outlineLevel="0" collapsed="false">
      <c r="A50" s="23"/>
      <c r="B50" s="23"/>
      <c r="C50" s="23"/>
      <c r="D50" s="23"/>
      <c r="E50" s="1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18"/>
    </row>
    <row r="51" customFormat="false" ht="15" hidden="false" customHeight="false" outlineLevel="0" collapsed="false">
      <c r="A51" s="23"/>
      <c r="B51" s="23"/>
      <c r="C51" s="23"/>
      <c r="D51" s="23"/>
      <c r="E51" s="1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18"/>
    </row>
    <row r="52" customFormat="false" ht="15" hidden="false" customHeight="false" outlineLevel="0" collapsed="false">
      <c r="A52" s="23"/>
      <c r="B52" s="23"/>
      <c r="C52" s="23"/>
      <c r="D52" s="23"/>
      <c r="E52" s="1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18"/>
    </row>
    <row r="53" customFormat="false" ht="15" hidden="false" customHeight="false" outlineLevel="0" collapsed="false">
      <c r="A53" s="23"/>
      <c r="B53" s="23"/>
      <c r="C53" s="23"/>
      <c r="D53" s="23"/>
      <c r="E53" s="1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18"/>
    </row>
    <row r="54" customFormat="false" ht="15" hidden="false" customHeight="false" outlineLevel="0" collapsed="false">
      <c r="A54" s="23"/>
      <c r="B54" s="23"/>
      <c r="C54" s="23"/>
      <c r="D54" s="23"/>
      <c r="E54" s="1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18"/>
    </row>
    <row r="55" customFormat="false" ht="15" hidden="false" customHeight="false" outlineLevel="0" collapsed="false">
      <c r="A55" s="23"/>
      <c r="B55" s="23"/>
      <c r="C55" s="23"/>
      <c r="D55" s="23"/>
      <c r="E55" s="1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18"/>
    </row>
    <row r="56" customFormat="false" ht="15" hidden="false" customHeight="false" outlineLevel="0" collapsed="false">
      <c r="A56" s="23"/>
      <c r="B56" s="23"/>
      <c r="C56" s="23"/>
      <c r="D56" s="23"/>
      <c r="E56" s="1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18"/>
    </row>
    <row r="57" customFormat="false" ht="15" hidden="false" customHeight="false" outlineLevel="0" collapsed="false">
      <c r="A57" s="23"/>
      <c r="B57" s="23"/>
      <c r="C57" s="23"/>
      <c r="D57" s="23"/>
      <c r="E57" s="1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18"/>
    </row>
    <row r="58" customFormat="false" ht="15" hidden="false" customHeight="false" outlineLevel="0" collapsed="false">
      <c r="A58" s="23"/>
      <c r="B58" s="23"/>
      <c r="C58" s="23"/>
      <c r="D58" s="23"/>
      <c r="E58" s="1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18"/>
    </row>
    <row r="59" customFormat="false" ht="15" hidden="false" customHeight="false" outlineLevel="0" collapsed="false">
      <c r="A59" s="23"/>
      <c r="B59" s="23"/>
      <c r="C59" s="23"/>
      <c r="D59" s="23"/>
      <c r="E59" s="1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18"/>
    </row>
    <row r="60" customFormat="false" ht="15" hidden="false" customHeight="false" outlineLevel="0" collapsed="false">
      <c r="A60" s="23"/>
      <c r="B60" s="23"/>
      <c r="C60" s="23"/>
      <c r="D60" s="23"/>
      <c r="E60" s="1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18"/>
    </row>
    <row r="61" customFormat="false" ht="15" hidden="false" customHeight="false" outlineLevel="0" collapsed="false">
      <c r="A61" s="23"/>
      <c r="B61" s="23"/>
      <c r="C61" s="23"/>
      <c r="D61" s="23"/>
      <c r="E61" s="1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18"/>
    </row>
    <row r="62" customFormat="false" ht="15" hidden="false" customHeight="false" outlineLevel="0" collapsed="false">
      <c r="A62" s="23"/>
      <c r="B62" s="23"/>
      <c r="C62" s="23"/>
      <c r="D62" s="23"/>
      <c r="E62" s="1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18"/>
    </row>
    <row r="63" customFormat="false" ht="15" hidden="false" customHeight="false" outlineLevel="0" collapsed="false">
      <c r="A63" s="23"/>
      <c r="B63" s="23"/>
      <c r="C63" s="23"/>
      <c r="D63" s="23"/>
      <c r="E63" s="1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18"/>
    </row>
    <row r="64" customFormat="false" ht="15" hidden="false" customHeight="false" outlineLevel="0" collapsed="false">
      <c r="A64" s="23"/>
      <c r="B64" s="23"/>
      <c r="C64" s="23"/>
      <c r="D64" s="23"/>
      <c r="E64" s="1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18"/>
    </row>
    <row r="65" customFormat="false" ht="15" hidden="false" customHeight="false" outlineLevel="0" collapsed="false">
      <c r="A65" s="23"/>
      <c r="B65" s="23"/>
      <c r="C65" s="23"/>
      <c r="D65" s="23"/>
      <c r="E65" s="1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18"/>
    </row>
    <row r="66" customFormat="false" ht="15" hidden="false" customHeight="false" outlineLevel="0" collapsed="false">
      <c r="A66" s="23"/>
      <c r="B66" s="23"/>
      <c r="C66" s="23"/>
      <c r="D66" s="23"/>
      <c r="E66" s="1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18"/>
    </row>
    <row r="67" customFormat="false" ht="15" hidden="false" customHeight="false" outlineLevel="0" collapsed="false">
      <c r="A67" s="23"/>
      <c r="B67" s="23"/>
      <c r="C67" s="23"/>
      <c r="D67" s="23"/>
      <c r="E67" s="1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18"/>
    </row>
    <row r="68" customFormat="false" ht="15" hidden="false" customHeight="false" outlineLevel="0" collapsed="false">
      <c r="A68" s="23"/>
      <c r="B68" s="23"/>
      <c r="C68" s="23"/>
      <c r="D68" s="23"/>
      <c r="E68" s="1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18"/>
    </row>
    <row r="69" customFormat="false" ht="15" hidden="false" customHeight="false" outlineLevel="0" collapsed="false">
      <c r="A69" s="23"/>
      <c r="B69" s="23"/>
      <c r="C69" s="23"/>
      <c r="D69" s="23"/>
      <c r="E69" s="1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18"/>
    </row>
    <row r="70" customFormat="false" ht="15" hidden="false" customHeight="false" outlineLevel="0" collapsed="false">
      <c r="A70" s="23"/>
      <c r="B70" s="23"/>
      <c r="C70" s="23"/>
      <c r="D70" s="23"/>
      <c r="E70" s="1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18"/>
    </row>
    <row r="71" customFormat="false" ht="15" hidden="false" customHeight="false" outlineLevel="0" collapsed="false">
      <c r="A71" s="23"/>
      <c r="B71" s="23"/>
      <c r="C71" s="23"/>
      <c r="D71" s="23"/>
      <c r="E71" s="1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18"/>
    </row>
    <row r="72" customFormat="false" ht="15" hidden="false" customHeight="false" outlineLevel="0" collapsed="false">
      <c r="A72" s="23"/>
      <c r="B72" s="23"/>
      <c r="C72" s="23"/>
      <c r="D72" s="23"/>
      <c r="E72" s="1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18"/>
    </row>
    <row r="73" customFormat="false" ht="15" hidden="false" customHeight="false" outlineLevel="0" collapsed="false">
      <c r="A73" s="23"/>
      <c r="B73" s="23"/>
      <c r="C73" s="23"/>
      <c r="D73" s="23"/>
      <c r="E73" s="1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18"/>
    </row>
    <row r="74" customFormat="false" ht="15" hidden="false" customHeight="false" outlineLevel="0" collapsed="false">
      <c r="A74" s="23"/>
      <c r="B74" s="23"/>
      <c r="C74" s="23"/>
      <c r="D74" s="23"/>
      <c r="E74" s="1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18"/>
    </row>
    <row r="75" customFormat="false" ht="15" hidden="false" customHeight="false" outlineLevel="0" collapsed="false">
      <c r="A75" s="23"/>
      <c r="B75" s="23"/>
      <c r="C75" s="23"/>
      <c r="D75" s="23"/>
      <c r="E75" s="1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18"/>
    </row>
    <row r="76" customFormat="false" ht="15" hidden="false" customHeight="false" outlineLevel="0" collapsed="false">
      <c r="A76" s="23"/>
      <c r="B76" s="23"/>
      <c r="C76" s="23"/>
      <c r="D76" s="23"/>
      <c r="E76" s="1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18"/>
    </row>
    <row r="77" customFormat="false" ht="15" hidden="false" customHeight="false" outlineLevel="0" collapsed="false">
      <c r="A77" s="23"/>
      <c r="B77" s="23"/>
      <c r="C77" s="23"/>
      <c r="D77" s="23"/>
      <c r="E77" s="1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18"/>
    </row>
    <row r="78" customFormat="false" ht="15" hidden="false" customHeight="false" outlineLevel="0" collapsed="false">
      <c r="A78" s="23"/>
      <c r="B78" s="23"/>
      <c r="C78" s="23"/>
      <c r="D78" s="23"/>
      <c r="E78" s="1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18"/>
    </row>
    <row r="79" customFormat="false" ht="15" hidden="false" customHeight="false" outlineLevel="0" collapsed="false">
      <c r="A79" s="23"/>
      <c r="B79" s="23"/>
      <c r="C79" s="23"/>
      <c r="D79" s="23"/>
      <c r="E79" s="1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18"/>
    </row>
    <row r="80" customFormat="false" ht="15" hidden="false" customHeight="false" outlineLevel="0" collapsed="false">
      <c r="A80" s="23"/>
      <c r="B80" s="23"/>
      <c r="C80" s="23"/>
      <c r="D80" s="23"/>
      <c r="E80" s="1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18"/>
    </row>
    <row r="81" customFormat="false" ht="15" hidden="false" customHeight="false" outlineLevel="0" collapsed="false">
      <c r="A81" s="23"/>
      <c r="B81" s="23"/>
      <c r="C81" s="23"/>
      <c r="D81" s="23"/>
      <c r="E81" s="1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18"/>
    </row>
    <row r="82" customFormat="false" ht="15" hidden="false" customHeight="false" outlineLevel="0" collapsed="false">
      <c r="A82" s="23"/>
      <c r="B82" s="23"/>
      <c r="C82" s="23"/>
      <c r="D82" s="23"/>
      <c r="E82" s="1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18"/>
    </row>
    <row r="83" customFormat="false" ht="15" hidden="false" customHeight="false" outlineLevel="0" collapsed="false">
      <c r="A83" s="23"/>
      <c r="B83" s="23"/>
      <c r="C83" s="23"/>
      <c r="D83" s="23"/>
      <c r="E83" s="1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18"/>
    </row>
    <row r="84" customFormat="false" ht="15" hidden="false" customHeight="false" outlineLevel="0" collapsed="false">
      <c r="A84" s="23"/>
      <c r="B84" s="23"/>
      <c r="C84" s="23"/>
      <c r="D84" s="23"/>
      <c r="E84" s="1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18"/>
    </row>
    <row r="85" customFormat="false" ht="15" hidden="false" customHeight="false" outlineLevel="0" collapsed="false">
      <c r="A85" s="23"/>
      <c r="B85" s="23"/>
      <c r="C85" s="23"/>
      <c r="D85" s="23"/>
      <c r="E85" s="1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18"/>
    </row>
    <row r="86" customFormat="false" ht="15" hidden="false" customHeight="false" outlineLevel="0" collapsed="false">
      <c r="A86" s="23"/>
      <c r="B86" s="23"/>
      <c r="C86" s="23"/>
      <c r="D86" s="23"/>
      <c r="E86" s="1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18"/>
    </row>
    <row r="87" customFormat="false" ht="15" hidden="false" customHeight="false" outlineLevel="0" collapsed="false">
      <c r="A87" s="23"/>
      <c r="B87" s="23"/>
      <c r="C87" s="23"/>
      <c r="D87" s="23"/>
      <c r="E87" s="1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18"/>
    </row>
    <row r="88" customFormat="false" ht="15" hidden="false" customHeight="false" outlineLevel="0" collapsed="false">
      <c r="A88" s="23"/>
      <c r="B88" s="23"/>
      <c r="C88" s="23"/>
      <c r="D88" s="23"/>
      <c r="E88" s="1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18"/>
    </row>
    <row r="89" customFormat="false" ht="15" hidden="false" customHeight="false" outlineLevel="0" collapsed="false">
      <c r="A89" s="23"/>
      <c r="B89" s="23"/>
      <c r="C89" s="23"/>
      <c r="D89" s="23"/>
      <c r="E89" s="1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18"/>
    </row>
    <row r="90" customFormat="false" ht="15" hidden="false" customHeight="false" outlineLevel="0" collapsed="false">
      <c r="A90" s="23"/>
      <c r="B90" s="23"/>
      <c r="C90" s="23"/>
      <c r="D90" s="23"/>
      <c r="E90" s="1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18"/>
    </row>
    <row r="91" customFormat="false" ht="15" hidden="false" customHeight="false" outlineLevel="0" collapsed="false">
      <c r="A91" s="23"/>
      <c r="B91" s="23"/>
      <c r="C91" s="23"/>
      <c r="D91" s="23"/>
      <c r="E91" s="1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18"/>
    </row>
    <row r="92" customFormat="false" ht="15" hidden="false" customHeight="false" outlineLevel="0" collapsed="false">
      <c r="A92" s="23"/>
      <c r="B92" s="23"/>
      <c r="C92" s="23"/>
      <c r="D92" s="23"/>
      <c r="E92" s="1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18"/>
    </row>
    <row r="93" customFormat="false" ht="15" hidden="false" customHeight="false" outlineLevel="0" collapsed="false">
      <c r="A93" s="23"/>
      <c r="B93" s="23"/>
      <c r="C93" s="23"/>
      <c r="D93" s="23"/>
      <c r="E93" s="1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18"/>
    </row>
    <row r="94" customFormat="false" ht="15" hidden="false" customHeight="false" outlineLevel="0" collapsed="false">
      <c r="A94" s="23"/>
      <c r="B94" s="23"/>
      <c r="C94" s="23"/>
      <c r="D94" s="23"/>
      <c r="E94" s="1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18"/>
    </row>
    <row r="95" customFormat="false" ht="15" hidden="false" customHeight="false" outlineLevel="0" collapsed="false">
      <c r="A95" s="23"/>
      <c r="B95" s="23"/>
      <c r="C95" s="23"/>
      <c r="D95" s="23"/>
      <c r="E95" s="1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18"/>
    </row>
    <row r="96" customFormat="false" ht="15" hidden="false" customHeight="false" outlineLevel="0" collapsed="false">
      <c r="A96" s="23"/>
      <c r="B96" s="23"/>
      <c r="C96" s="23"/>
      <c r="D96" s="23"/>
      <c r="E96" s="1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18"/>
    </row>
    <row r="97" customFormat="false" ht="15" hidden="false" customHeight="false" outlineLevel="0" collapsed="false">
      <c r="A97" s="23"/>
      <c r="B97" s="23"/>
      <c r="C97" s="23"/>
      <c r="D97" s="23"/>
      <c r="E97" s="1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18"/>
    </row>
    <row r="98" customFormat="false" ht="15" hidden="false" customHeight="false" outlineLevel="0" collapsed="false">
      <c r="A98" s="23"/>
      <c r="B98" s="23"/>
      <c r="C98" s="23"/>
      <c r="D98" s="23"/>
      <c r="E98" s="1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18"/>
    </row>
    <row r="99" customFormat="false" ht="15" hidden="false" customHeight="false" outlineLevel="0" collapsed="false">
      <c r="A99" s="23"/>
      <c r="B99" s="23"/>
      <c r="C99" s="23"/>
      <c r="D99" s="23"/>
      <c r="E99" s="1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18"/>
    </row>
    <row r="100" customFormat="false" ht="15" hidden="false" customHeight="false" outlineLevel="0" collapsed="false">
      <c r="A100" s="23"/>
      <c r="B100" s="23"/>
      <c r="C100" s="23"/>
      <c r="D100" s="23"/>
      <c r="E100" s="1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18"/>
    </row>
    <row r="101" customFormat="false" ht="15" hidden="false" customHeight="false" outlineLevel="0" collapsed="false">
      <c r="A101" s="23"/>
      <c r="B101" s="23"/>
      <c r="C101" s="23"/>
      <c r="D101" s="23"/>
      <c r="E101" s="1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18"/>
    </row>
    <row r="102" customFormat="false" ht="15" hidden="false" customHeight="false" outlineLevel="0" collapsed="false">
      <c r="A102" s="23"/>
      <c r="B102" s="23"/>
      <c r="C102" s="23"/>
      <c r="D102" s="23"/>
      <c r="E102" s="1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18"/>
    </row>
    <row r="103" customFormat="false" ht="15" hidden="false" customHeight="false" outlineLevel="0" collapsed="false">
      <c r="A103" s="23"/>
      <c r="B103" s="23"/>
      <c r="C103" s="23"/>
      <c r="D103" s="23"/>
      <c r="E103" s="1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18"/>
    </row>
    <row r="104" customFormat="false" ht="15" hidden="false" customHeight="false" outlineLevel="0" collapsed="false">
      <c r="A104" s="23"/>
      <c r="B104" s="23"/>
      <c r="C104" s="23"/>
      <c r="D104" s="23"/>
      <c r="E104" s="1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18"/>
    </row>
    <row r="105" customFormat="false" ht="15" hidden="false" customHeight="false" outlineLevel="0" collapsed="false">
      <c r="A105" s="23"/>
      <c r="B105" s="23"/>
      <c r="C105" s="23"/>
      <c r="D105" s="23"/>
      <c r="E105" s="1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18"/>
    </row>
    <row r="106" customFormat="false" ht="15" hidden="false" customHeight="false" outlineLevel="0" collapsed="false">
      <c r="A106" s="23"/>
      <c r="B106" s="23"/>
      <c r="C106" s="23"/>
      <c r="D106" s="23"/>
      <c r="E106" s="1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18"/>
    </row>
    <row r="107" customFormat="false" ht="15" hidden="false" customHeight="false" outlineLevel="0" collapsed="false">
      <c r="A107" s="23"/>
      <c r="B107" s="23"/>
      <c r="C107" s="23"/>
      <c r="D107" s="23"/>
      <c r="E107" s="1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18"/>
    </row>
    <row r="108" customFormat="false" ht="15" hidden="false" customHeight="false" outlineLevel="0" collapsed="false">
      <c r="A108" s="23"/>
      <c r="B108" s="23"/>
      <c r="C108" s="23"/>
      <c r="D108" s="23"/>
      <c r="E108" s="1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18"/>
    </row>
    <row r="109" customFormat="false" ht="15" hidden="false" customHeight="false" outlineLevel="0" collapsed="false">
      <c r="A109" s="23"/>
      <c r="B109" s="23"/>
      <c r="C109" s="23"/>
      <c r="D109" s="23"/>
      <c r="E109" s="1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18"/>
    </row>
    <row r="110" customFormat="false" ht="15" hidden="false" customHeight="false" outlineLevel="0" collapsed="false">
      <c r="A110" s="23"/>
      <c r="B110" s="23"/>
      <c r="C110" s="23"/>
      <c r="D110" s="23"/>
      <c r="E110" s="1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18"/>
    </row>
    <row r="111" customFormat="false" ht="15" hidden="false" customHeight="false" outlineLevel="0" collapsed="false">
      <c r="A111" s="23"/>
      <c r="B111" s="23"/>
      <c r="C111" s="23"/>
      <c r="D111" s="23"/>
      <c r="E111" s="1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18"/>
    </row>
    <row r="112" customFormat="false" ht="15" hidden="false" customHeight="false" outlineLevel="0" collapsed="false">
      <c r="A112" s="23"/>
      <c r="B112" s="23"/>
      <c r="C112" s="23"/>
      <c r="D112" s="23"/>
      <c r="E112" s="1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18"/>
    </row>
    <row r="113" customFormat="false" ht="15" hidden="false" customHeight="false" outlineLevel="0" collapsed="false">
      <c r="A113" s="23"/>
      <c r="B113" s="23"/>
      <c r="C113" s="23"/>
      <c r="D113" s="23"/>
      <c r="E113" s="1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18"/>
    </row>
    <row r="114" customFormat="false" ht="15" hidden="false" customHeight="false" outlineLevel="0" collapsed="false">
      <c r="A114" s="23"/>
      <c r="B114" s="23"/>
      <c r="C114" s="23"/>
      <c r="D114" s="23"/>
      <c r="E114" s="1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18"/>
    </row>
    <row r="115" customFormat="false" ht="15" hidden="false" customHeight="false" outlineLevel="0" collapsed="false">
      <c r="A115" s="23"/>
      <c r="B115" s="23"/>
      <c r="C115" s="23"/>
      <c r="D115" s="23"/>
      <c r="E115" s="1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18"/>
    </row>
    <row r="116" customFormat="false" ht="15" hidden="false" customHeight="false" outlineLevel="0" collapsed="false">
      <c r="A116" s="23"/>
      <c r="B116" s="23"/>
      <c r="C116" s="23"/>
      <c r="D116" s="23"/>
      <c r="E116" s="1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18"/>
    </row>
    <row r="117" customFormat="false" ht="15" hidden="false" customHeight="false" outlineLevel="0" collapsed="false">
      <c r="A117" s="23"/>
      <c r="B117" s="23"/>
      <c r="C117" s="23"/>
      <c r="D117" s="23"/>
      <c r="E117" s="1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18"/>
    </row>
    <row r="118" customFormat="false" ht="15" hidden="false" customHeight="false" outlineLevel="0" collapsed="false">
      <c r="A118" s="23"/>
      <c r="B118" s="23"/>
      <c r="C118" s="23"/>
      <c r="D118" s="23"/>
      <c r="E118" s="1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18"/>
    </row>
    <row r="119" customFormat="false" ht="15" hidden="false" customHeight="false" outlineLevel="0" collapsed="false">
      <c r="A119" s="23"/>
      <c r="B119" s="23"/>
      <c r="C119" s="23"/>
      <c r="D119" s="23"/>
      <c r="E119" s="1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18"/>
    </row>
    <row r="120" customFormat="false" ht="15" hidden="false" customHeight="false" outlineLevel="0" collapsed="false">
      <c r="A120" s="23"/>
      <c r="B120" s="23"/>
      <c r="C120" s="23"/>
      <c r="D120" s="23"/>
      <c r="E120" s="1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18"/>
    </row>
    <row r="121" customFormat="false" ht="15" hidden="false" customHeight="false" outlineLevel="0" collapsed="false">
      <c r="A121" s="23"/>
      <c r="B121" s="23"/>
      <c r="C121" s="23"/>
      <c r="D121" s="23"/>
      <c r="E121" s="1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18"/>
    </row>
    <row r="122" customFormat="false" ht="15" hidden="false" customHeight="false" outlineLevel="0" collapsed="false">
      <c r="A122" s="23"/>
      <c r="B122" s="23"/>
      <c r="C122" s="23"/>
      <c r="D122" s="23"/>
      <c r="E122" s="1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18"/>
    </row>
    <row r="123" customFormat="false" ht="15" hidden="false" customHeight="false" outlineLevel="0" collapsed="false">
      <c r="A123" s="23"/>
      <c r="B123" s="23"/>
      <c r="C123" s="23"/>
      <c r="D123" s="23"/>
      <c r="E123" s="1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18"/>
    </row>
    <row r="124" customFormat="false" ht="15" hidden="false" customHeight="false" outlineLevel="0" collapsed="false">
      <c r="A124" s="23"/>
      <c r="B124" s="23"/>
      <c r="C124" s="23"/>
      <c r="D124" s="23"/>
      <c r="E124" s="1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18"/>
    </row>
    <row r="125" customFormat="false" ht="15" hidden="false" customHeight="false" outlineLevel="0" collapsed="false">
      <c r="A125" s="23"/>
      <c r="B125" s="23"/>
      <c r="C125" s="23"/>
      <c r="D125" s="23"/>
      <c r="E125" s="1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18"/>
    </row>
    <row r="126" customFormat="false" ht="15" hidden="false" customHeight="false" outlineLevel="0" collapsed="false">
      <c r="A126" s="23"/>
      <c r="B126" s="23"/>
      <c r="C126" s="23"/>
      <c r="D126" s="23"/>
      <c r="E126" s="1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18"/>
    </row>
    <row r="127" customFormat="false" ht="15" hidden="false" customHeight="false" outlineLevel="0" collapsed="false">
      <c r="A127" s="23"/>
      <c r="B127" s="23"/>
      <c r="C127" s="23"/>
      <c r="D127" s="23"/>
      <c r="E127" s="1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18"/>
    </row>
    <row r="128" customFormat="false" ht="15" hidden="false" customHeight="false" outlineLevel="0" collapsed="false">
      <c r="A128" s="23"/>
      <c r="B128" s="23"/>
      <c r="C128" s="23"/>
      <c r="D128" s="23"/>
      <c r="E128" s="1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18"/>
    </row>
    <row r="129" customFormat="false" ht="15" hidden="false" customHeight="false" outlineLevel="0" collapsed="false">
      <c r="A129" s="23"/>
      <c r="B129" s="23"/>
      <c r="C129" s="23"/>
      <c r="D129" s="23"/>
      <c r="E129" s="1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18"/>
    </row>
    <row r="130" customFormat="false" ht="15" hidden="false" customHeight="false" outlineLevel="0" collapsed="false">
      <c r="A130" s="23"/>
      <c r="B130" s="23"/>
      <c r="C130" s="23"/>
      <c r="D130" s="23"/>
      <c r="E130" s="1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18"/>
    </row>
    <row r="131" customFormat="false" ht="15" hidden="false" customHeight="false" outlineLevel="0" collapsed="false">
      <c r="A131" s="23"/>
      <c r="B131" s="23"/>
      <c r="C131" s="23"/>
      <c r="D131" s="23"/>
      <c r="E131" s="1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18"/>
    </row>
    <row r="132" customFormat="false" ht="15" hidden="false" customHeight="false" outlineLevel="0" collapsed="false">
      <c r="A132" s="23"/>
      <c r="B132" s="23"/>
      <c r="C132" s="23"/>
      <c r="D132" s="23"/>
      <c r="E132" s="1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18"/>
    </row>
    <row r="133" customFormat="false" ht="15" hidden="false" customHeight="false" outlineLevel="0" collapsed="false">
      <c r="A133" s="23"/>
      <c r="B133" s="23"/>
      <c r="C133" s="23"/>
      <c r="D133" s="23"/>
      <c r="E133" s="1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18"/>
    </row>
    <row r="134" customFormat="false" ht="15" hidden="false" customHeight="false" outlineLevel="0" collapsed="false">
      <c r="A134" s="23"/>
      <c r="B134" s="23"/>
      <c r="C134" s="23"/>
      <c r="D134" s="23"/>
      <c r="E134" s="1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18"/>
    </row>
    <row r="135" customFormat="false" ht="15" hidden="false" customHeight="false" outlineLevel="0" collapsed="false">
      <c r="A135" s="23"/>
      <c r="B135" s="23"/>
      <c r="C135" s="23"/>
      <c r="D135" s="23"/>
      <c r="E135" s="1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18"/>
    </row>
    <row r="136" customFormat="false" ht="15" hidden="false" customHeight="false" outlineLevel="0" collapsed="false">
      <c r="A136" s="23"/>
      <c r="B136" s="23"/>
      <c r="C136" s="23"/>
      <c r="D136" s="23"/>
      <c r="E136" s="1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18"/>
    </row>
    <row r="137" customFormat="false" ht="15" hidden="false" customHeight="false" outlineLevel="0" collapsed="false">
      <c r="A137" s="23"/>
      <c r="B137" s="23"/>
      <c r="C137" s="23"/>
      <c r="D137" s="23"/>
      <c r="E137" s="1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18"/>
    </row>
    <row r="138" customFormat="false" ht="15" hidden="false" customHeight="false" outlineLevel="0" collapsed="false">
      <c r="A138" s="23"/>
      <c r="B138" s="23"/>
      <c r="C138" s="23"/>
      <c r="D138" s="23"/>
      <c r="E138" s="1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18"/>
    </row>
    <row r="139" customFormat="false" ht="15" hidden="false" customHeight="false" outlineLevel="0" collapsed="false">
      <c r="A139" s="23"/>
      <c r="B139" s="23"/>
      <c r="C139" s="23"/>
      <c r="D139" s="23"/>
      <c r="E139" s="1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18"/>
    </row>
    <row r="140" customFormat="false" ht="15" hidden="false" customHeight="false" outlineLevel="0" collapsed="false">
      <c r="A140" s="23"/>
      <c r="B140" s="23"/>
      <c r="C140" s="23"/>
      <c r="D140" s="23"/>
      <c r="E140" s="1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18"/>
    </row>
    <row r="141" customFormat="false" ht="15" hidden="false" customHeight="false" outlineLevel="0" collapsed="false">
      <c r="A141" s="23"/>
      <c r="B141" s="23"/>
      <c r="C141" s="23"/>
      <c r="D141" s="23"/>
      <c r="E141" s="1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18"/>
    </row>
    <row r="142" customFormat="false" ht="15" hidden="false" customHeight="false" outlineLevel="0" collapsed="false">
      <c r="A142" s="23"/>
      <c r="B142" s="23"/>
      <c r="C142" s="23"/>
      <c r="D142" s="23"/>
      <c r="E142" s="1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18"/>
    </row>
    <row r="143" customFormat="false" ht="15" hidden="false" customHeight="false" outlineLevel="0" collapsed="false">
      <c r="A143" s="23"/>
      <c r="B143" s="23"/>
      <c r="C143" s="23"/>
      <c r="D143" s="23"/>
      <c r="E143" s="1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18"/>
    </row>
    <row r="144" customFormat="false" ht="15" hidden="false" customHeight="false" outlineLevel="0" collapsed="false">
      <c r="A144" s="23"/>
      <c r="B144" s="23"/>
      <c r="C144" s="23"/>
      <c r="D144" s="23"/>
      <c r="E144" s="1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18"/>
    </row>
    <row r="145" customFormat="false" ht="15" hidden="false" customHeight="false" outlineLevel="0" collapsed="false">
      <c r="A145" s="23"/>
      <c r="B145" s="23"/>
      <c r="C145" s="23"/>
      <c r="D145" s="23"/>
      <c r="E145" s="1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18"/>
    </row>
    <row r="146" customFormat="false" ht="15" hidden="false" customHeight="false" outlineLevel="0" collapsed="false">
      <c r="A146" s="23"/>
      <c r="B146" s="23"/>
      <c r="C146" s="23"/>
      <c r="D146" s="23"/>
      <c r="E146" s="1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18"/>
    </row>
    <row r="147" customFormat="false" ht="15" hidden="false" customHeight="false" outlineLevel="0" collapsed="false">
      <c r="A147" s="23"/>
      <c r="B147" s="23"/>
      <c r="C147" s="23"/>
      <c r="D147" s="23"/>
      <c r="E147" s="1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18"/>
    </row>
    <row r="148" customFormat="false" ht="15" hidden="false" customHeight="false" outlineLevel="0" collapsed="false">
      <c r="A148" s="23"/>
      <c r="B148" s="23"/>
      <c r="C148" s="23"/>
      <c r="D148" s="23"/>
      <c r="E148" s="1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18"/>
    </row>
    <row r="149" customFormat="false" ht="15" hidden="false" customHeight="false" outlineLevel="0" collapsed="false">
      <c r="A149" s="23"/>
      <c r="B149" s="23"/>
      <c r="C149" s="23"/>
      <c r="D149" s="23"/>
      <c r="E149" s="1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18"/>
    </row>
    <row r="150" customFormat="false" ht="15" hidden="false" customHeight="false" outlineLevel="0" collapsed="false">
      <c r="A150" s="23"/>
      <c r="B150" s="23"/>
      <c r="C150" s="23"/>
      <c r="D150" s="23"/>
      <c r="E150" s="1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18"/>
    </row>
    <row r="151" customFormat="false" ht="15" hidden="false" customHeight="false" outlineLevel="0" collapsed="false">
      <c r="A151" s="23"/>
      <c r="B151" s="23"/>
      <c r="C151" s="23"/>
      <c r="D151" s="23"/>
      <c r="E151" s="1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18"/>
    </row>
    <row r="152" customFormat="false" ht="15" hidden="false" customHeight="false" outlineLevel="0" collapsed="false">
      <c r="A152" s="23"/>
      <c r="B152" s="23"/>
      <c r="C152" s="23"/>
      <c r="D152" s="23"/>
      <c r="E152" s="1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18"/>
    </row>
    <row r="153" customFormat="false" ht="15" hidden="false" customHeight="false" outlineLevel="0" collapsed="false">
      <c r="A153" s="23"/>
      <c r="B153" s="23"/>
      <c r="C153" s="23"/>
      <c r="D153" s="23"/>
      <c r="E153" s="1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18"/>
    </row>
    <row r="154" customFormat="false" ht="15" hidden="false" customHeight="false" outlineLevel="0" collapsed="false">
      <c r="A154" s="23"/>
      <c r="B154" s="23"/>
      <c r="C154" s="23"/>
      <c r="D154" s="23"/>
      <c r="E154" s="1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18"/>
    </row>
    <row r="155" customFormat="false" ht="15" hidden="false" customHeight="false" outlineLevel="0" collapsed="false">
      <c r="A155" s="23"/>
      <c r="B155" s="23"/>
      <c r="C155" s="23"/>
      <c r="D155" s="23"/>
      <c r="E155" s="1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18"/>
    </row>
    <row r="156" customFormat="false" ht="15" hidden="false" customHeight="false" outlineLevel="0" collapsed="false">
      <c r="A156" s="23"/>
      <c r="B156" s="23"/>
      <c r="C156" s="23"/>
      <c r="D156" s="23"/>
      <c r="E156" s="1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18"/>
    </row>
    <row r="157" customFormat="false" ht="15" hidden="false" customHeight="false" outlineLevel="0" collapsed="false">
      <c r="A157" s="23"/>
      <c r="B157" s="23"/>
      <c r="C157" s="23"/>
      <c r="D157" s="23"/>
      <c r="E157" s="1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18"/>
    </row>
    <row r="158" customFormat="false" ht="15" hidden="false" customHeight="false" outlineLevel="0" collapsed="false">
      <c r="A158" s="23"/>
      <c r="B158" s="23"/>
      <c r="C158" s="23"/>
      <c r="D158" s="23"/>
      <c r="E158" s="1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18"/>
    </row>
    <row r="159" customFormat="false" ht="15" hidden="false" customHeight="false" outlineLevel="0" collapsed="false">
      <c r="A159" s="23"/>
      <c r="B159" s="23"/>
      <c r="C159" s="23"/>
      <c r="D159" s="23"/>
      <c r="E159" s="1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18"/>
    </row>
    <row r="160" customFormat="false" ht="15" hidden="false" customHeight="false" outlineLevel="0" collapsed="false">
      <c r="A160" s="23"/>
      <c r="B160" s="23"/>
      <c r="C160" s="23"/>
      <c r="D160" s="23"/>
      <c r="E160" s="1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18"/>
    </row>
    <row r="161" customFormat="false" ht="15" hidden="false" customHeight="false" outlineLevel="0" collapsed="false">
      <c r="A161" s="23"/>
      <c r="B161" s="23"/>
      <c r="C161" s="23"/>
      <c r="D161" s="23"/>
      <c r="E161" s="1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18"/>
    </row>
    <row r="162" customFormat="false" ht="15" hidden="false" customHeight="false" outlineLevel="0" collapsed="false">
      <c r="A162" s="23"/>
      <c r="B162" s="23"/>
      <c r="C162" s="23"/>
      <c r="D162" s="23"/>
      <c r="E162" s="1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18"/>
    </row>
    <row r="163" customFormat="false" ht="15" hidden="false" customHeight="false" outlineLevel="0" collapsed="false">
      <c r="A163" s="23"/>
      <c r="B163" s="23"/>
      <c r="C163" s="23"/>
      <c r="D163" s="23"/>
      <c r="E163" s="1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18"/>
    </row>
    <row r="164" customFormat="false" ht="15" hidden="false" customHeight="false" outlineLevel="0" collapsed="false">
      <c r="A164" s="23"/>
      <c r="B164" s="23"/>
      <c r="C164" s="23"/>
      <c r="D164" s="23"/>
      <c r="E164" s="1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18"/>
    </row>
    <row r="165" customFormat="false" ht="15" hidden="false" customHeight="false" outlineLevel="0" collapsed="false">
      <c r="A165" s="23"/>
      <c r="B165" s="23"/>
      <c r="C165" s="23"/>
      <c r="D165" s="23"/>
      <c r="E165" s="1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18"/>
    </row>
    <row r="166" customFormat="false" ht="15" hidden="false" customHeight="false" outlineLevel="0" collapsed="false">
      <c r="A166" s="23"/>
      <c r="B166" s="23"/>
      <c r="C166" s="23"/>
      <c r="D166" s="23"/>
      <c r="E166" s="1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18"/>
    </row>
    <row r="167" customFormat="false" ht="15" hidden="false" customHeight="false" outlineLevel="0" collapsed="false">
      <c r="A167" s="23"/>
      <c r="B167" s="23"/>
      <c r="C167" s="23"/>
      <c r="D167" s="23"/>
      <c r="E167" s="1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18"/>
    </row>
    <row r="168" customFormat="false" ht="15" hidden="false" customHeight="false" outlineLevel="0" collapsed="false">
      <c r="A168" s="23"/>
      <c r="B168" s="23"/>
      <c r="C168" s="23"/>
      <c r="D168" s="23"/>
      <c r="E168" s="1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18"/>
    </row>
    <row r="169" customFormat="false" ht="15" hidden="false" customHeight="false" outlineLevel="0" collapsed="false">
      <c r="A169" s="23"/>
      <c r="B169" s="23"/>
      <c r="C169" s="23"/>
      <c r="D169" s="23"/>
      <c r="E169" s="1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18"/>
    </row>
    <row r="170" customFormat="false" ht="15" hidden="false" customHeight="false" outlineLevel="0" collapsed="false">
      <c r="A170" s="23"/>
      <c r="B170" s="23"/>
      <c r="C170" s="23"/>
      <c r="D170" s="23"/>
      <c r="E170" s="1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18"/>
    </row>
    <row r="171" customFormat="false" ht="15" hidden="false" customHeight="false" outlineLevel="0" collapsed="false">
      <c r="A171" s="23"/>
      <c r="B171" s="23"/>
      <c r="C171" s="23"/>
      <c r="D171" s="23"/>
      <c r="E171" s="1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18"/>
    </row>
    <row r="172" customFormat="false" ht="15" hidden="false" customHeight="false" outlineLevel="0" collapsed="false">
      <c r="A172" s="23"/>
      <c r="B172" s="23"/>
      <c r="C172" s="23"/>
      <c r="D172" s="23"/>
      <c r="E172" s="1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18"/>
    </row>
    <row r="173" customFormat="false" ht="15" hidden="false" customHeight="false" outlineLevel="0" collapsed="false">
      <c r="A173" s="23"/>
      <c r="B173" s="23"/>
      <c r="C173" s="23"/>
      <c r="D173" s="23"/>
      <c r="E173" s="1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18"/>
    </row>
    <row r="174" customFormat="false" ht="15" hidden="false" customHeight="false" outlineLevel="0" collapsed="false">
      <c r="A174" s="23"/>
      <c r="B174" s="23"/>
      <c r="C174" s="23"/>
      <c r="D174" s="23"/>
      <c r="E174" s="1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18"/>
    </row>
    <row r="175" customFormat="false" ht="15" hidden="false" customHeight="false" outlineLevel="0" collapsed="false">
      <c r="A175" s="23"/>
      <c r="B175" s="23"/>
      <c r="C175" s="23"/>
      <c r="D175" s="23"/>
      <c r="E175" s="1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18"/>
    </row>
    <row r="176" customFormat="false" ht="15" hidden="false" customHeight="false" outlineLevel="0" collapsed="false">
      <c r="A176" s="23"/>
      <c r="B176" s="23"/>
      <c r="C176" s="23"/>
      <c r="D176" s="23"/>
      <c r="E176" s="1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18"/>
    </row>
    <row r="177" customFormat="false" ht="15" hidden="false" customHeight="false" outlineLevel="0" collapsed="false">
      <c r="A177" s="23"/>
      <c r="B177" s="23"/>
      <c r="C177" s="23"/>
      <c r="D177" s="23"/>
      <c r="E177" s="1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18"/>
    </row>
    <row r="178" customFormat="false" ht="15" hidden="false" customHeight="false" outlineLevel="0" collapsed="false">
      <c r="A178" s="23"/>
      <c r="B178" s="23"/>
      <c r="C178" s="23"/>
      <c r="D178" s="23"/>
      <c r="E178" s="1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18"/>
    </row>
    <row r="179" customFormat="false" ht="15" hidden="false" customHeight="false" outlineLevel="0" collapsed="false">
      <c r="A179" s="23"/>
      <c r="B179" s="23"/>
      <c r="C179" s="23"/>
      <c r="D179" s="23"/>
      <c r="E179" s="1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18"/>
    </row>
    <row r="180" customFormat="false" ht="15" hidden="false" customHeight="false" outlineLevel="0" collapsed="false">
      <c r="A180" s="23"/>
      <c r="B180" s="23"/>
      <c r="C180" s="23"/>
      <c r="D180" s="23"/>
      <c r="E180" s="1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18"/>
    </row>
    <row r="181" customFormat="false" ht="15" hidden="false" customHeight="false" outlineLevel="0" collapsed="false">
      <c r="A181" s="23"/>
      <c r="B181" s="23"/>
      <c r="C181" s="23"/>
      <c r="D181" s="23"/>
      <c r="E181" s="1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18"/>
    </row>
    <row r="182" customFormat="false" ht="15" hidden="false" customHeight="false" outlineLevel="0" collapsed="false">
      <c r="A182" s="23"/>
      <c r="B182" s="23"/>
      <c r="C182" s="23"/>
      <c r="D182" s="23"/>
      <c r="E182" s="1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18"/>
    </row>
    <row r="183" customFormat="false" ht="15" hidden="false" customHeight="false" outlineLevel="0" collapsed="false">
      <c r="A183" s="23"/>
      <c r="B183" s="23"/>
      <c r="C183" s="23"/>
      <c r="D183" s="23"/>
      <c r="E183" s="1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18"/>
    </row>
    <row r="184" customFormat="false" ht="15" hidden="false" customHeight="false" outlineLevel="0" collapsed="false">
      <c r="A184" s="23"/>
      <c r="B184" s="23"/>
      <c r="C184" s="23"/>
      <c r="D184" s="23"/>
      <c r="E184" s="1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18"/>
    </row>
    <row r="185" customFormat="false" ht="15" hidden="false" customHeight="false" outlineLevel="0" collapsed="false">
      <c r="A185" s="23"/>
      <c r="B185" s="23"/>
      <c r="C185" s="23"/>
      <c r="D185" s="23"/>
      <c r="E185" s="1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18"/>
    </row>
    <row r="186" customFormat="false" ht="15" hidden="false" customHeight="false" outlineLevel="0" collapsed="false">
      <c r="A186" s="23"/>
      <c r="B186" s="23"/>
      <c r="C186" s="23"/>
      <c r="D186" s="23"/>
      <c r="E186" s="1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18"/>
    </row>
    <row r="187" customFormat="false" ht="15" hidden="false" customHeight="false" outlineLevel="0" collapsed="false">
      <c r="A187" s="23"/>
      <c r="B187" s="23"/>
      <c r="C187" s="23"/>
      <c r="D187" s="23"/>
      <c r="E187" s="1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18"/>
    </row>
    <row r="188" customFormat="false" ht="15" hidden="false" customHeight="false" outlineLevel="0" collapsed="false">
      <c r="A188" s="23"/>
      <c r="B188" s="23"/>
      <c r="C188" s="23"/>
      <c r="D188" s="23"/>
      <c r="E188" s="1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18"/>
    </row>
    <row r="189" customFormat="false" ht="15" hidden="false" customHeight="false" outlineLevel="0" collapsed="false">
      <c r="A189" s="23"/>
      <c r="B189" s="23"/>
      <c r="C189" s="23"/>
      <c r="D189" s="23"/>
      <c r="E189" s="1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18"/>
    </row>
    <row r="190" customFormat="false" ht="15" hidden="false" customHeight="false" outlineLevel="0" collapsed="false">
      <c r="A190" s="23"/>
      <c r="B190" s="23"/>
      <c r="C190" s="23"/>
      <c r="D190" s="23"/>
      <c r="E190" s="1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18"/>
    </row>
    <row r="191" customFormat="false" ht="15" hidden="false" customHeight="false" outlineLevel="0" collapsed="false">
      <c r="A191" s="23"/>
      <c r="B191" s="23"/>
      <c r="C191" s="23"/>
      <c r="D191" s="23"/>
      <c r="E191" s="1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18"/>
    </row>
    <row r="192" customFormat="false" ht="15" hidden="false" customHeight="false" outlineLevel="0" collapsed="false">
      <c r="A192" s="23"/>
      <c r="B192" s="23"/>
      <c r="C192" s="23"/>
      <c r="D192" s="23"/>
      <c r="E192" s="1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18"/>
    </row>
    <row r="193" customFormat="false" ht="15" hidden="false" customHeight="false" outlineLevel="0" collapsed="false">
      <c r="A193" s="23"/>
      <c r="B193" s="23"/>
      <c r="C193" s="23"/>
      <c r="D193" s="23"/>
      <c r="E193" s="1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18"/>
    </row>
    <row r="194" customFormat="false" ht="15" hidden="false" customHeight="false" outlineLevel="0" collapsed="false">
      <c r="A194" s="23"/>
      <c r="B194" s="23"/>
      <c r="C194" s="23"/>
      <c r="D194" s="23"/>
      <c r="E194" s="1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18"/>
    </row>
    <row r="195" customFormat="false" ht="15" hidden="false" customHeight="false" outlineLevel="0" collapsed="false">
      <c r="A195" s="23"/>
      <c r="B195" s="23"/>
      <c r="C195" s="23"/>
      <c r="D195" s="23"/>
      <c r="E195" s="1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18"/>
    </row>
    <row r="196" customFormat="false" ht="15" hidden="false" customHeight="false" outlineLevel="0" collapsed="false">
      <c r="A196" s="23"/>
      <c r="B196" s="23"/>
      <c r="C196" s="23"/>
      <c r="D196" s="23"/>
      <c r="E196" s="1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18"/>
    </row>
    <row r="197" customFormat="false" ht="15" hidden="false" customHeight="false" outlineLevel="0" collapsed="false">
      <c r="A197" s="23"/>
      <c r="B197" s="23"/>
      <c r="C197" s="23"/>
      <c r="D197" s="23"/>
      <c r="E197" s="1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18"/>
    </row>
    <row r="198" customFormat="false" ht="15" hidden="false" customHeight="false" outlineLevel="0" collapsed="false">
      <c r="A198" s="23"/>
      <c r="B198" s="23"/>
      <c r="C198" s="23"/>
      <c r="D198" s="23"/>
      <c r="E198" s="1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18"/>
    </row>
    <row r="199" customFormat="false" ht="15" hidden="false" customHeight="false" outlineLevel="0" collapsed="false">
      <c r="A199" s="23"/>
      <c r="B199" s="23"/>
      <c r="C199" s="23"/>
      <c r="D199" s="23"/>
      <c r="E199" s="1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18"/>
    </row>
    <row r="200" customFormat="false" ht="15" hidden="false" customHeight="false" outlineLevel="0" collapsed="false">
      <c r="A200" s="23"/>
      <c r="B200" s="23"/>
      <c r="C200" s="23"/>
      <c r="D200" s="23"/>
      <c r="E200" s="1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18"/>
    </row>
    <row r="201" customFormat="false" ht="15" hidden="false" customHeight="false" outlineLevel="0" collapsed="false">
      <c r="A201" s="23"/>
      <c r="B201" s="23"/>
      <c r="C201" s="23"/>
      <c r="D201" s="23"/>
      <c r="E201" s="1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18"/>
    </row>
    <row r="202" customFormat="false" ht="15" hidden="false" customHeight="false" outlineLevel="0" collapsed="false">
      <c r="A202" s="23"/>
      <c r="B202" s="23"/>
      <c r="C202" s="23"/>
      <c r="D202" s="23"/>
      <c r="E202" s="1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18"/>
    </row>
    <row r="203" customFormat="false" ht="15" hidden="false" customHeight="false" outlineLevel="0" collapsed="false">
      <c r="A203" s="23"/>
      <c r="B203" s="23"/>
      <c r="C203" s="23"/>
      <c r="D203" s="23"/>
      <c r="E203" s="1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18"/>
    </row>
    <row r="204" customFormat="false" ht="15" hidden="false" customHeight="false" outlineLevel="0" collapsed="false">
      <c r="A204" s="23"/>
      <c r="B204" s="23"/>
      <c r="C204" s="23"/>
      <c r="D204" s="23"/>
      <c r="E204" s="1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18"/>
    </row>
    <row r="205" customFormat="false" ht="15" hidden="false" customHeight="false" outlineLevel="0" collapsed="false">
      <c r="A205" s="23"/>
      <c r="B205" s="23"/>
      <c r="C205" s="23"/>
      <c r="D205" s="23"/>
      <c r="E205" s="1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18"/>
    </row>
    <row r="206" customFormat="false" ht="15" hidden="false" customHeight="false" outlineLevel="0" collapsed="false">
      <c r="A206" s="23"/>
      <c r="B206" s="23"/>
      <c r="C206" s="23"/>
      <c r="D206" s="23"/>
      <c r="E206" s="1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18"/>
    </row>
    <row r="207" customFormat="false" ht="15" hidden="false" customHeight="false" outlineLevel="0" collapsed="false">
      <c r="A207" s="23"/>
      <c r="B207" s="23"/>
      <c r="C207" s="23"/>
      <c r="D207" s="23"/>
      <c r="E207" s="1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18"/>
    </row>
    <row r="208" customFormat="false" ht="15" hidden="false" customHeight="false" outlineLevel="0" collapsed="false">
      <c r="A208" s="23"/>
      <c r="B208" s="23"/>
      <c r="C208" s="23"/>
      <c r="D208" s="23"/>
      <c r="E208" s="1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18"/>
    </row>
    <row r="209" customFormat="false" ht="15" hidden="false" customHeight="false" outlineLevel="0" collapsed="false">
      <c r="A209" s="23"/>
      <c r="B209" s="23"/>
      <c r="C209" s="23"/>
      <c r="D209" s="23"/>
      <c r="E209" s="1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18"/>
    </row>
    <row r="210" customFormat="false" ht="15" hidden="false" customHeight="false" outlineLevel="0" collapsed="false">
      <c r="A210" s="23"/>
      <c r="B210" s="23"/>
      <c r="C210" s="23"/>
      <c r="D210" s="23"/>
      <c r="E210" s="1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18"/>
    </row>
    <row r="211" customFormat="false" ht="15" hidden="false" customHeight="false" outlineLevel="0" collapsed="false">
      <c r="A211" s="23"/>
      <c r="B211" s="23"/>
      <c r="C211" s="23"/>
      <c r="D211" s="23"/>
      <c r="E211" s="1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18"/>
    </row>
    <row r="212" customFormat="false" ht="15" hidden="false" customHeight="false" outlineLevel="0" collapsed="false">
      <c r="A212" s="23"/>
      <c r="B212" s="23"/>
      <c r="C212" s="23"/>
      <c r="D212" s="23"/>
      <c r="E212" s="1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18"/>
    </row>
    <row r="213" customFormat="false" ht="15" hidden="false" customHeight="false" outlineLevel="0" collapsed="false">
      <c r="A213" s="23"/>
      <c r="B213" s="23"/>
      <c r="C213" s="23"/>
      <c r="D213" s="23"/>
      <c r="E213" s="1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18"/>
    </row>
    <row r="214" customFormat="false" ht="15" hidden="false" customHeight="false" outlineLevel="0" collapsed="false">
      <c r="A214" s="23"/>
      <c r="B214" s="23"/>
      <c r="C214" s="23"/>
      <c r="D214" s="23"/>
      <c r="E214" s="1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18"/>
    </row>
    <row r="215" customFormat="false" ht="15" hidden="false" customHeight="false" outlineLevel="0" collapsed="false">
      <c r="A215" s="23"/>
      <c r="B215" s="23"/>
      <c r="C215" s="23"/>
      <c r="D215" s="23"/>
      <c r="E215" s="1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18"/>
    </row>
    <row r="216" customFormat="false" ht="15" hidden="false" customHeight="false" outlineLevel="0" collapsed="false">
      <c r="A216" s="23"/>
      <c r="B216" s="23"/>
      <c r="C216" s="23"/>
      <c r="D216" s="23"/>
      <c r="E216" s="1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18"/>
    </row>
    <row r="217" customFormat="false" ht="15" hidden="false" customHeight="false" outlineLevel="0" collapsed="false">
      <c r="A217" s="23"/>
      <c r="B217" s="23"/>
      <c r="C217" s="23"/>
      <c r="D217" s="23"/>
      <c r="E217" s="1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18"/>
    </row>
    <row r="218" customFormat="false" ht="15" hidden="false" customHeight="false" outlineLevel="0" collapsed="false">
      <c r="A218" s="23"/>
      <c r="B218" s="23"/>
      <c r="C218" s="23"/>
      <c r="D218" s="23"/>
      <c r="E218" s="1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18"/>
    </row>
    <row r="219" customFormat="false" ht="15" hidden="false" customHeight="false" outlineLevel="0" collapsed="false">
      <c r="A219" s="23"/>
      <c r="B219" s="23"/>
      <c r="C219" s="23"/>
      <c r="D219" s="23"/>
      <c r="E219" s="1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18"/>
    </row>
    <row r="220" customFormat="false" ht="15" hidden="false" customHeight="false" outlineLevel="0" collapsed="false">
      <c r="A220" s="23"/>
      <c r="B220" s="23"/>
      <c r="C220" s="23"/>
      <c r="D220" s="23"/>
      <c r="E220" s="1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18"/>
    </row>
    <row r="221" customFormat="false" ht="15" hidden="false" customHeight="false" outlineLevel="0" collapsed="false">
      <c r="A221" s="23"/>
      <c r="B221" s="23"/>
      <c r="C221" s="23"/>
      <c r="D221" s="23"/>
      <c r="E221" s="1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18"/>
    </row>
    <row r="222" customFormat="false" ht="15" hidden="false" customHeight="false" outlineLevel="0" collapsed="false">
      <c r="A222" s="23"/>
      <c r="B222" s="23"/>
      <c r="C222" s="23"/>
      <c r="D222" s="23"/>
      <c r="E222" s="1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18"/>
    </row>
    <row r="223" customFormat="false" ht="15" hidden="false" customHeight="false" outlineLevel="0" collapsed="false">
      <c r="A223" s="23"/>
      <c r="B223" s="23"/>
      <c r="C223" s="23"/>
      <c r="D223" s="23"/>
      <c r="E223" s="1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18"/>
    </row>
    <row r="224" customFormat="false" ht="15" hidden="false" customHeight="false" outlineLevel="0" collapsed="false">
      <c r="A224" s="23"/>
      <c r="B224" s="23"/>
      <c r="C224" s="23"/>
      <c r="D224" s="23"/>
      <c r="E224" s="1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18"/>
    </row>
    <row r="225" customFormat="false" ht="15" hidden="false" customHeight="false" outlineLevel="0" collapsed="false">
      <c r="A225" s="23"/>
      <c r="B225" s="23"/>
      <c r="C225" s="23"/>
      <c r="D225" s="23"/>
      <c r="E225" s="1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18"/>
    </row>
    <row r="226" customFormat="false" ht="15" hidden="false" customHeight="false" outlineLevel="0" collapsed="false">
      <c r="A226" s="23"/>
      <c r="B226" s="23"/>
      <c r="C226" s="23"/>
      <c r="D226" s="23"/>
      <c r="E226" s="1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18"/>
    </row>
    <row r="227" customFormat="false" ht="15" hidden="false" customHeight="false" outlineLevel="0" collapsed="false">
      <c r="A227" s="23"/>
      <c r="B227" s="23"/>
      <c r="C227" s="23"/>
      <c r="D227" s="23"/>
      <c r="E227" s="1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18"/>
    </row>
    <row r="228" customFormat="false" ht="15" hidden="false" customHeight="false" outlineLevel="0" collapsed="false">
      <c r="A228" s="23"/>
      <c r="B228" s="23"/>
      <c r="C228" s="23"/>
      <c r="D228" s="23"/>
      <c r="E228" s="1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18"/>
    </row>
    <row r="229" customFormat="false" ht="15" hidden="false" customHeight="false" outlineLevel="0" collapsed="false">
      <c r="A229" s="23"/>
      <c r="B229" s="23"/>
      <c r="C229" s="23"/>
      <c r="D229" s="23"/>
      <c r="E229" s="1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18"/>
    </row>
    <row r="230" customFormat="false" ht="15" hidden="false" customHeight="false" outlineLevel="0" collapsed="false">
      <c r="A230" s="23"/>
      <c r="B230" s="23"/>
      <c r="C230" s="23"/>
      <c r="D230" s="23"/>
      <c r="E230" s="1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18"/>
    </row>
    <row r="231" customFormat="false" ht="15" hidden="false" customHeight="false" outlineLevel="0" collapsed="false">
      <c r="A231" s="23"/>
      <c r="B231" s="23"/>
      <c r="C231" s="23"/>
      <c r="D231" s="23"/>
      <c r="E231" s="1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18"/>
    </row>
    <row r="232" customFormat="false" ht="15" hidden="false" customHeight="false" outlineLevel="0" collapsed="false">
      <c r="A232" s="23"/>
      <c r="B232" s="23"/>
      <c r="C232" s="23"/>
      <c r="D232" s="23"/>
      <c r="E232" s="1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18"/>
    </row>
    <row r="233" customFormat="false" ht="15" hidden="false" customHeight="false" outlineLevel="0" collapsed="false">
      <c r="A233" s="23"/>
      <c r="B233" s="23"/>
      <c r="C233" s="23"/>
      <c r="D233" s="23"/>
      <c r="E233" s="1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18"/>
    </row>
    <row r="234" customFormat="false" ht="15" hidden="false" customHeight="false" outlineLevel="0" collapsed="false">
      <c r="A234" s="23"/>
      <c r="B234" s="23"/>
      <c r="C234" s="23"/>
      <c r="D234" s="23"/>
      <c r="E234" s="1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18"/>
    </row>
    <row r="235" customFormat="false" ht="15" hidden="false" customHeight="false" outlineLevel="0" collapsed="false">
      <c r="A235" s="23"/>
      <c r="B235" s="23"/>
      <c r="C235" s="23"/>
      <c r="D235" s="23"/>
      <c r="E235" s="1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18"/>
    </row>
    <row r="236" customFormat="false" ht="15" hidden="false" customHeight="false" outlineLevel="0" collapsed="false">
      <c r="A236" s="23"/>
      <c r="B236" s="23"/>
      <c r="C236" s="23"/>
      <c r="D236" s="23"/>
      <c r="E236" s="1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18"/>
    </row>
    <row r="237" customFormat="false" ht="15" hidden="false" customHeight="false" outlineLevel="0" collapsed="false">
      <c r="A237" s="23"/>
      <c r="B237" s="23"/>
      <c r="C237" s="23"/>
      <c r="D237" s="23"/>
      <c r="E237" s="1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18"/>
    </row>
    <row r="238" customFormat="false" ht="15" hidden="false" customHeight="false" outlineLevel="0" collapsed="false">
      <c r="A238" s="23"/>
      <c r="B238" s="23"/>
      <c r="C238" s="23"/>
      <c r="D238" s="23"/>
      <c r="E238" s="1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18"/>
    </row>
    <row r="239" customFormat="false" ht="15" hidden="false" customHeight="false" outlineLevel="0" collapsed="false">
      <c r="A239" s="23"/>
      <c r="B239" s="23"/>
      <c r="C239" s="23"/>
      <c r="D239" s="23"/>
      <c r="E239" s="1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18"/>
    </row>
    <row r="240" customFormat="false" ht="15" hidden="false" customHeight="false" outlineLevel="0" collapsed="false">
      <c r="A240" s="23"/>
      <c r="B240" s="23"/>
      <c r="C240" s="23"/>
      <c r="D240" s="23"/>
      <c r="E240" s="1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18"/>
    </row>
    <row r="241" customFormat="false" ht="15" hidden="false" customHeight="false" outlineLevel="0" collapsed="false">
      <c r="A241" s="23"/>
      <c r="B241" s="23"/>
      <c r="C241" s="23"/>
      <c r="D241" s="23"/>
      <c r="E241" s="1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18"/>
    </row>
    <row r="242" customFormat="false" ht="15" hidden="false" customHeight="false" outlineLevel="0" collapsed="false">
      <c r="A242" s="23"/>
      <c r="B242" s="23"/>
      <c r="C242" s="23"/>
      <c r="D242" s="23"/>
      <c r="E242" s="1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18"/>
    </row>
    <row r="243" customFormat="false" ht="15" hidden="false" customHeight="false" outlineLevel="0" collapsed="false">
      <c r="A243" s="23"/>
      <c r="B243" s="23"/>
      <c r="C243" s="23"/>
      <c r="D243" s="23"/>
      <c r="E243" s="1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18"/>
    </row>
    <row r="244" customFormat="false" ht="15" hidden="false" customHeight="false" outlineLevel="0" collapsed="false">
      <c r="A244" s="23"/>
      <c r="B244" s="23"/>
      <c r="C244" s="23"/>
      <c r="D244" s="23"/>
      <c r="E244" s="1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18"/>
    </row>
    <row r="245" customFormat="false" ht="15" hidden="false" customHeight="false" outlineLevel="0" collapsed="false">
      <c r="A245" s="23"/>
      <c r="B245" s="23"/>
      <c r="C245" s="23"/>
      <c r="D245" s="23"/>
      <c r="E245" s="1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18"/>
    </row>
    <row r="246" customFormat="false" ht="15" hidden="false" customHeight="false" outlineLevel="0" collapsed="false">
      <c r="A246" s="23"/>
      <c r="B246" s="23"/>
      <c r="C246" s="23"/>
      <c r="D246" s="23"/>
      <c r="E246" s="1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18"/>
    </row>
    <row r="247" customFormat="false" ht="15" hidden="false" customHeight="false" outlineLevel="0" collapsed="false">
      <c r="A247" s="23"/>
      <c r="B247" s="23"/>
      <c r="C247" s="23"/>
      <c r="D247" s="23"/>
      <c r="E247" s="1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18"/>
    </row>
    <row r="248" customFormat="false" ht="15" hidden="false" customHeight="false" outlineLevel="0" collapsed="false">
      <c r="A248" s="23"/>
      <c r="B248" s="23"/>
      <c r="C248" s="23"/>
      <c r="D248" s="23"/>
      <c r="E248" s="1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18"/>
    </row>
    <row r="249" customFormat="false" ht="15" hidden="false" customHeight="false" outlineLevel="0" collapsed="false">
      <c r="A249" s="23"/>
      <c r="B249" s="23"/>
      <c r="C249" s="23"/>
      <c r="D249" s="23"/>
      <c r="E249" s="1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18"/>
    </row>
    <row r="250" customFormat="false" ht="15" hidden="false" customHeight="false" outlineLevel="0" collapsed="false">
      <c r="A250" s="23"/>
      <c r="B250" s="23"/>
      <c r="C250" s="23"/>
      <c r="D250" s="23"/>
      <c r="E250" s="1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18"/>
    </row>
    <row r="251" customFormat="false" ht="15" hidden="false" customHeight="false" outlineLevel="0" collapsed="false">
      <c r="A251" s="23"/>
      <c r="B251" s="23"/>
      <c r="C251" s="23"/>
      <c r="D251" s="23"/>
      <c r="E251" s="1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18"/>
    </row>
    <row r="252" customFormat="false" ht="15" hidden="false" customHeight="false" outlineLevel="0" collapsed="false">
      <c r="A252" s="23"/>
      <c r="B252" s="23"/>
      <c r="C252" s="23"/>
      <c r="D252" s="23"/>
      <c r="E252" s="1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18"/>
    </row>
    <row r="253" customFormat="false" ht="15" hidden="false" customHeight="false" outlineLevel="0" collapsed="false">
      <c r="A253" s="23"/>
      <c r="B253" s="23"/>
      <c r="C253" s="23"/>
      <c r="D253" s="23"/>
      <c r="E253" s="1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18"/>
    </row>
    <row r="254" customFormat="false" ht="15" hidden="false" customHeight="false" outlineLevel="0" collapsed="false">
      <c r="A254" s="23"/>
      <c r="B254" s="23"/>
      <c r="C254" s="23"/>
      <c r="D254" s="23"/>
      <c r="E254" s="1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18"/>
    </row>
    <row r="255" customFormat="false" ht="15" hidden="false" customHeight="false" outlineLevel="0" collapsed="false">
      <c r="A255" s="23"/>
      <c r="B255" s="23"/>
      <c r="C255" s="23"/>
      <c r="D255" s="23"/>
      <c r="E255" s="1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18"/>
    </row>
    <row r="256" customFormat="false" ht="15" hidden="false" customHeight="false" outlineLevel="0" collapsed="false">
      <c r="A256" s="23"/>
      <c r="B256" s="23"/>
      <c r="C256" s="23"/>
      <c r="D256" s="23"/>
      <c r="E256" s="1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18"/>
    </row>
    <row r="257" customFormat="false" ht="15" hidden="false" customHeight="false" outlineLevel="0" collapsed="false">
      <c r="A257" s="23"/>
      <c r="B257" s="23"/>
      <c r="C257" s="23"/>
      <c r="D257" s="23"/>
      <c r="E257" s="1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18"/>
    </row>
    <row r="258" customFormat="false" ht="15" hidden="false" customHeight="false" outlineLevel="0" collapsed="false">
      <c r="A258" s="23"/>
      <c r="B258" s="23"/>
      <c r="C258" s="23"/>
      <c r="D258" s="23"/>
      <c r="E258" s="1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18"/>
    </row>
    <row r="259" customFormat="false" ht="15" hidden="false" customHeight="false" outlineLevel="0" collapsed="false">
      <c r="A259" s="23"/>
      <c r="B259" s="23"/>
      <c r="C259" s="23"/>
      <c r="D259" s="23"/>
      <c r="E259" s="1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18"/>
    </row>
    <row r="260" customFormat="false" ht="15" hidden="false" customHeight="false" outlineLevel="0" collapsed="false">
      <c r="A260" s="23"/>
      <c r="B260" s="23"/>
      <c r="C260" s="23"/>
      <c r="D260" s="23"/>
      <c r="E260" s="1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18"/>
    </row>
    <row r="261" customFormat="false" ht="15" hidden="false" customHeight="false" outlineLevel="0" collapsed="false">
      <c r="A261" s="23"/>
      <c r="B261" s="23"/>
      <c r="C261" s="23"/>
      <c r="D261" s="23"/>
      <c r="E261" s="1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18"/>
    </row>
    <row r="262" customFormat="false" ht="15" hidden="false" customHeight="false" outlineLevel="0" collapsed="false">
      <c r="A262" s="23"/>
      <c r="B262" s="23"/>
      <c r="C262" s="23"/>
      <c r="D262" s="23"/>
      <c r="E262" s="1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18"/>
    </row>
    <row r="263" customFormat="false" ht="15" hidden="false" customHeight="false" outlineLevel="0" collapsed="false">
      <c r="A263" s="23"/>
      <c r="B263" s="23"/>
      <c r="C263" s="23"/>
      <c r="D263" s="23"/>
      <c r="E263" s="1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18"/>
    </row>
    <row r="264" customFormat="false" ht="15" hidden="false" customHeight="false" outlineLevel="0" collapsed="false">
      <c r="A264" s="23"/>
      <c r="B264" s="23"/>
      <c r="C264" s="23"/>
      <c r="D264" s="23"/>
      <c r="E264" s="1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18"/>
    </row>
    <row r="265" customFormat="false" ht="15" hidden="false" customHeight="false" outlineLevel="0" collapsed="false">
      <c r="A265" s="23"/>
      <c r="B265" s="23"/>
      <c r="C265" s="23"/>
      <c r="D265" s="23"/>
      <c r="E265" s="1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18"/>
    </row>
    <row r="266" customFormat="false" ht="15" hidden="false" customHeight="false" outlineLevel="0" collapsed="false">
      <c r="A266" s="23"/>
      <c r="B266" s="23"/>
      <c r="C266" s="23"/>
      <c r="D266" s="23"/>
      <c r="E266" s="1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18"/>
    </row>
    <row r="267" customFormat="false" ht="15" hidden="false" customHeight="false" outlineLevel="0" collapsed="false">
      <c r="A267" s="23"/>
      <c r="B267" s="23"/>
      <c r="C267" s="23"/>
      <c r="D267" s="23"/>
      <c r="E267" s="1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18"/>
    </row>
    <row r="268" customFormat="false" ht="15" hidden="false" customHeight="false" outlineLevel="0" collapsed="false">
      <c r="A268" s="23"/>
      <c r="B268" s="23"/>
      <c r="C268" s="23"/>
      <c r="D268" s="23"/>
      <c r="E268" s="1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18"/>
    </row>
    <row r="269" customFormat="false" ht="15" hidden="false" customHeight="false" outlineLevel="0" collapsed="false">
      <c r="A269" s="23"/>
      <c r="B269" s="23"/>
      <c r="C269" s="23"/>
      <c r="D269" s="23"/>
      <c r="E269" s="1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18"/>
    </row>
    <row r="270" customFormat="false" ht="15" hidden="false" customHeight="false" outlineLevel="0" collapsed="false">
      <c r="A270" s="23"/>
      <c r="B270" s="23"/>
      <c r="C270" s="23"/>
      <c r="D270" s="23"/>
      <c r="E270" s="1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18"/>
    </row>
    <row r="271" customFormat="false" ht="15" hidden="false" customHeight="false" outlineLevel="0" collapsed="false">
      <c r="A271" s="23"/>
      <c r="B271" s="23"/>
      <c r="C271" s="23"/>
      <c r="D271" s="23"/>
      <c r="E271" s="1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18"/>
    </row>
    <row r="272" customFormat="false" ht="15" hidden="false" customHeight="false" outlineLevel="0" collapsed="false">
      <c r="A272" s="23"/>
      <c r="B272" s="23"/>
      <c r="C272" s="23"/>
      <c r="D272" s="23"/>
      <c r="E272" s="1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18"/>
    </row>
    <row r="273" customFormat="false" ht="15" hidden="false" customHeight="false" outlineLevel="0" collapsed="false">
      <c r="A273" s="23"/>
      <c r="B273" s="23"/>
      <c r="C273" s="23"/>
      <c r="D273" s="23"/>
      <c r="E273" s="1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18"/>
    </row>
    <row r="274" customFormat="false" ht="15" hidden="false" customHeight="false" outlineLevel="0" collapsed="false">
      <c r="A274" s="23"/>
      <c r="B274" s="23"/>
      <c r="C274" s="23"/>
      <c r="D274" s="23"/>
      <c r="E274" s="1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18"/>
    </row>
    <row r="275" customFormat="false" ht="15" hidden="false" customHeight="false" outlineLevel="0" collapsed="false">
      <c r="A275" s="23"/>
      <c r="B275" s="23"/>
      <c r="C275" s="23"/>
      <c r="D275" s="23"/>
      <c r="E275" s="1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18"/>
    </row>
    <row r="276" customFormat="false" ht="15" hidden="false" customHeight="false" outlineLevel="0" collapsed="false">
      <c r="A276" s="23"/>
      <c r="B276" s="23"/>
      <c r="C276" s="23"/>
      <c r="D276" s="23"/>
      <c r="E276" s="1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18"/>
    </row>
    <row r="277" customFormat="false" ht="15" hidden="false" customHeight="false" outlineLevel="0" collapsed="false">
      <c r="A277" s="23"/>
      <c r="B277" s="23"/>
      <c r="C277" s="23"/>
      <c r="D277" s="23"/>
      <c r="E277" s="1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18"/>
    </row>
    <row r="278" customFormat="false" ht="15" hidden="false" customHeight="false" outlineLevel="0" collapsed="false">
      <c r="A278" s="23"/>
      <c r="B278" s="23"/>
      <c r="C278" s="23"/>
      <c r="D278" s="23"/>
      <c r="E278" s="1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18"/>
    </row>
    <row r="279" customFormat="false" ht="15" hidden="false" customHeight="false" outlineLevel="0" collapsed="false">
      <c r="A279" s="23"/>
      <c r="B279" s="23"/>
      <c r="C279" s="23"/>
      <c r="D279" s="23"/>
      <c r="E279" s="1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18"/>
    </row>
    <row r="280" customFormat="false" ht="15" hidden="false" customHeight="false" outlineLevel="0" collapsed="false">
      <c r="A280" s="23"/>
      <c r="B280" s="23"/>
      <c r="C280" s="23"/>
      <c r="D280" s="23"/>
      <c r="E280" s="1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18"/>
    </row>
    <row r="281" customFormat="false" ht="15" hidden="false" customHeight="false" outlineLevel="0" collapsed="false">
      <c r="A281" s="23"/>
      <c r="B281" s="23"/>
      <c r="C281" s="23"/>
      <c r="D281" s="23"/>
      <c r="E281" s="1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18"/>
    </row>
    <row r="282" customFormat="false" ht="15" hidden="false" customHeight="false" outlineLevel="0" collapsed="false">
      <c r="A282" s="23"/>
      <c r="B282" s="23"/>
      <c r="C282" s="23"/>
      <c r="D282" s="23"/>
      <c r="E282" s="1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18"/>
    </row>
    <row r="283" customFormat="false" ht="15" hidden="false" customHeight="false" outlineLevel="0" collapsed="false">
      <c r="A283" s="23"/>
      <c r="B283" s="23"/>
      <c r="C283" s="23"/>
      <c r="D283" s="23"/>
      <c r="E283" s="1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18"/>
    </row>
    <row r="284" customFormat="false" ht="15" hidden="false" customHeight="false" outlineLevel="0" collapsed="false">
      <c r="A284" s="23"/>
      <c r="B284" s="23"/>
      <c r="C284" s="23"/>
      <c r="D284" s="23"/>
      <c r="E284" s="1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18"/>
    </row>
    <row r="285" customFormat="false" ht="15" hidden="false" customHeight="false" outlineLevel="0" collapsed="false">
      <c r="A285" s="23"/>
      <c r="B285" s="23"/>
      <c r="C285" s="23"/>
      <c r="D285" s="23"/>
      <c r="E285" s="1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18"/>
    </row>
    <row r="286" customFormat="false" ht="15" hidden="false" customHeight="false" outlineLevel="0" collapsed="false">
      <c r="A286" s="23"/>
      <c r="B286" s="23"/>
      <c r="C286" s="23"/>
      <c r="D286" s="23"/>
      <c r="E286" s="1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18"/>
    </row>
    <row r="287" customFormat="false" ht="15" hidden="false" customHeight="false" outlineLevel="0" collapsed="false">
      <c r="A287" s="23"/>
      <c r="B287" s="23"/>
      <c r="C287" s="23"/>
      <c r="D287" s="23"/>
      <c r="E287" s="1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18"/>
    </row>
    <row r="288" customFormat="false" ht="15" hidden="false" customHeight="false" outlineLevel="0" collapsed="false">
      <c r="A288" s="23"/>
      <c r="B288" s="23"/>
      <c r="C288" s="23"/>
      <c r="D288" s="23"/>
      <c r="E288" s="1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18"/>
    </row>
    <row r="289" customFormat="false" ht="15" hidden="false" customHeight="false" outlineLevel="0" collapsed="false">
      <c r="A289" s="23"/>
      <c r="B289" s="23"/>
      <c r="C289" s="23"/>
      <c r="D289" s="23"/>
      <c r="E289" s="1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18"/>
    </row>
    <row r="290" customFormat="false" ht="15" hidden="false" customHeight="false" outlineLevel="0" collapsed="false">
      <c r="A290" s="23"/>
      <c r="B290" s="23"/>
      <c r="C290" s="23"/>
      <c r="D290" s="23"/>
      <c r="E290" s="1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18"/>
    </row>
    <row r="291" customFormat="false" ht="15" hidden="false" customHeight="false" outlineLevel="0" collapsed="false">
      <c r="A291" s="23"/>
      <c r="B291" s="23"/>
      <c r="C291" s="23"/>
      <c r="D291" s="23"/>
      <c r="E291" s="1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18"/>
    </row>
    <row r="292" customFormat="false" ht="15" hidden="false" customHeight="false" outlineLevel="0" collapsed="false">
      <c r="A292" s="23"/>
      <c r="B292" s="23"/>
      <c r="C292" s="23"/>
      <c r="D292" s="23"/>
      <c r="E292" s="1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18"/>
    </row>
    <row r="293" customFormat="false" ht="15" hidden="false" customHeight="false" outlineLevel="0" collapsed="false">
      <c r="A293" s="23"/>
      <c r="B293" s="23"/>
      <c r="C293" s="23"/>
      <c r="D293" s="23"/>
      <c r="E293" s="1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18"/>
    </row>
    <row r="294" customFormat="false" ht="15" hidden="false" customHeight="false" outlineLevel="0" collapsed="false">
      <c r="A294" s="23"/>
      <c r="B294" s="23"/>
      <c r="C294" s="23"/>
      <c r="D294" s="23"/>
      <c r="E294" s="1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18"/>
    </row>
    <row r="295" customFormat="false" ht="15" hidden="false" customHeight="false" outlineLevel="0" collapsed="false">
      <c r="A295" s="23"/>
      <c r="B295" s="23"/>
      <c r="C295" s="23"/>
      <c r="D295" s="23"/>
      <c r="E295" s="1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18"/>
    </row>
    <row r="296" customFormat="false" ht="15" hidden="false" customHeight="false" outlineLevel="0" collapsed="false">
      <c r="A296" s="23"/>
      <c r="B296" s="23"/>
      <c r="C296" s="23"/>
      <c r="D296" s="23"/>
      <c r="E296" s="1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18"/>
    </row>
    <row r="297" customFormat="false" ht="15" hidden="false" customHeight="false" outlineLevel="0" collapsed="false">
      <c r="A297" s="23"/>
      <c r="B297" s="23"/>
      <c r="C297" s="23"/>
      <c r="D297" s="23"/>
      <c r="E297" s="1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18"/>
    </row>
    <row r="298" customFormat="false" ht="15" hidden="false" customHeight="false" outlineLevel="0" collapsed="false">
      <c r="A298" s="23"/>
      <c r="B298" s="23"/>
      <c r="C298" s="23"/>
      <c r="D298" s="23"/>
      <c r="E298" s="1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18"/>
    </row>
    <row r="299" customFormat="false" ht="15" hidden="false" customHeight="false" outlineLevel="0" collapsed="false">
      <c r="A299" s="23"/>
      <c r="B299" s="23"/>
      <c r="C299" s="23"/>
      <c r="D299" s="23"/>
      <c r="E299" s="1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18"/>
    </row>
    <row r="300" customFormat="false" ht="15" hidden="false" customHeight="false" outlineLevel="0" collapsed="false">
      <c r="A300" s="23"/>
      <c r="B300" s="23"/>
      <c r="C300" s="23"/>
      <c r="D300" s="23"/>
      <c r="E300" s="1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18"/>
    </row>
    <row r="301" customFormat="false" ht="15" hidden="false" customHeight="false" outlineLevel="0" collapsed="false">
      <c r="A301" s="23"/>
      <c r="B301" s="23"/>
      <c r="C301" s="23"/>
      <c r="D301" s="23"/>
      <c r="E301" s="1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18"/>
    </row>
    <row r="302" customFormat="false" ht="15" hidden="false" customHeight="false" outlineLevel="0" collapsed="false">
      <c r="A302" s="23"/>
      <c r="B302" s="23"/>
      <c r="C302" s="23"/>
      <c r="D302" s="23"/>
      <c r="E302" s="1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18"/>
    </row>
    <row r="303" customFormat="false" ht="15" hidden="false" customHeight="false" outlineLevel="0" collapsed="false">
      <c r="A303" s="23"/>
      <c r="B303" s="23"/>
      <c r="C303" s="23"/>
      <c r="D303" s="23"/>
      <c r="E303" s="1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18"/>
    </row>
    <row r="304" customFormat="false" ht="15" hidden="false" customHeight="false" outlineLevel="0" collapsed="false">
      <c r="A304" s="23"/>
      <c r="B304" s="23"/>
      <c r="C304" s="23"/>
      <c r="D304" s="23"/>
      <c r="E304" s="1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18"/>
    </row>
    <row r="305" customFormat="false" ht="15" hidden="false" customHeight="false" outlineLevel="0" collapsed="false">
      <c r="A305" s="23"/>
      <c r="B305" s="23"/>
      <c r="C305" s="23"/>
      <c r="D305" s="23"/>
      <c r="E305" s="1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18"/>
    </row>
    <row r="306" customFormat="false" ht="15" hidden="false" customHeight="false" outlineLevel="0" collapsed="false">
      <c r="A306" s="23"/>
      <c r="B306" s="23"/>
      <c r="C306" s="23"/>
      <c r="D306" s="23"/>
      <c r="E306" s="1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18"/>
    </row>
    <row r="307" customFormat="false" ht="15" hidden="false" customHeight="false" outlineLevel="0" collapsed="false">
      <c r="A307" s="23"/>
      <c r="B307" s="23"/>
      <c r="C307" s="23"/>
      <c r="D307" s="23"/>
      <c r="E307" s="1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18"/>
    </row>
    <row r="308" customFormat="false" ht="15" hidden="false" customHeight="false" outlineLevel="0" collapsed="false">
      <c r="A308" s="23"/>
      <c r="B308" s="23"/>
      <c r="C308" s="23"/>
      <c r="D308" s="23"/>
      <c r="E308" s="1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18"/>
    </row>
    <row r="309" customFormat="false" ht="15" hidden="false" customHeight="false" outlineLevel="0" collapsed="false">
      <c r="A309" s="23"/>
      <c r="B309" s="23"/>
      <c r="C309" s="23"/>
      <c r="D309" s="23"/>
      <c r="E309" s="1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18"/>
    </row>
    <row r="310" customFormat="false" ht="15" hidden="false" customHeight="false" outlineLevel="0" collapsed="false">
      <c r="A310" s="23"/>
      <c r="B310" s="23"/>
      <c r="C310" s="23"/>
      <c r="D310" s="23"/>
      <c r="E310" s="1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18"/>
    </row>
    <row r="311" customFormat="false" ht="15" hidden="false" customHeight="false" outlineLevel="0" collapsed="false">
      <c r="A311" s="23"/>
      <c r="B311" s="23"/>
      <c r="C311" s="23"/>
      <c r="D311" s="23"/>
      <c r="E311" s="1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18"/>
    </row>
    <row r="312" customFormat="false" ht="15" hidden="false" customHeight="false" outlineLevel="0" collapsed="false">
      <c r="A312" s="23"/>
      <c r="B312" s="23"/>
      <c r="C312" s="23"/>
      <c r="D312" s="23"/>
      <c r="E312" s="1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18"/>
    </row>
    <row r="313" customFormat="false" ht="15" hidden="false" customHeight="false" outlineLevel="0" collapsed="false">
      <c r="A313" s="23"/>
      <c r="B313" s="23"/>
      <c r="C313" s="23"/>
      <c r="D313" s="23"/>
      <c r="E313" s="1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18"/>
    </row>
    <row r="314" customFormat="false" ht="15" hidden="false" customHeight="false" outlineLevel="0" collapsed="false">
      <c r="A314" s="23"/>
      <c r="B314" s="23"/>
      <c r="C314" s="23"/>
      <c r="D314" s="23"/>
      <c r="E314" s="1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18"/>
    </row>
    <row r="315" customFormat="false" ht="15" hidden="false" customHeight="false" outlineLevel="0" collapsed="false">
      <c r="A315" s="23"/>
      <c r="B315" s="23"/>
      <c r="C315" s="23"/>
      <c r="D315" s="23"/>
      <c r="E315" s="1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18"/>
    </row>
    <row r="316" customFormat="false" ht="15" hidden="false" customHeight="false" outlineLevel="0" collapsed="false">
      <c r="A316" s="23"/>
      <c r="B316" s="23"/>
      <c r="C316" s="23"/>
      <c r="D316" s="23"/>
      <c r="E316" s="1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18"/>
    </row>
    <row r="317" customFormat="false" ht="15" hidden="false" customHeight="false" outlineLevel="0" collapsed="false">
      <c r="A317" s="23"/>
      <c r="B317" s="23"/>
      <c r="C317" s="23"/>
      <c r="D317" s="23"/>
      <c r="E317" s="1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18"/>
    </row>
    <row r="318" customFormat="false" ht="15" hidden="false" customHeight="false" outlineLevel="0" collapsed="false">
      <c r="A318" s="23"/>
      <c r="B318" s="23"/>
      <c r="C318" s="23"/>
      <c r="D318" s="23"/>
      <c r="E318" s="1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18"/>
    </row>
    <row r="319" customFormat="false" ht="15" hidden="false" customHeight="false" outlineLevel="0" collapsed="false">
      <c r="A319" s="23"/>
      <c r="B319" s="23"/>
      <c r="C319" s="23"/>
      <c r="D319" s="23"/>
      <c r="E319" s="1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18"/>
    </row>
    <row r="320" customFormat="false" ht="15" hidden="false" customHeight="false" outlineLevel="0" collapsed="false">
      <c r="A320" s="23"/>
      <c r="B320" s="23"/>
      <c r="C320" s="23"/>
      <c r="D320" s="23"/>
      <c r="E320" s="1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18"/>
    </row>
    <row r="321" customFormat="false" ht="15" hidden="false" customHeight="false" outlineLevel="0" collapsed="false">
      <c r="A321" s="23"/>
      <c r="B321" s="23"/>
      <c r="C321" s="23"/>
      <c r="D321" s="23"/>
      <c r="E321" s="1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18"/>
    </row>
    <row r="322" customFormat="false" ht="15" hidden="false" customHeight="false" outlineLevel="0" collapsed="false">
      <c r="A322" s="23"/>
      <c r="B322" s="23"/>
      <c r="C322" s="23"/>
      <c r="D322" s="23"/>
      <c r="E322" s="1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18"/>
    </row>
    <row r="323" customFormat="false" ht="15" hidden="false" customHeight="false" outlineLevel="0" collapsed="false">
      <c r="A323" s="23"/>
      <c r="B323" s="23"/>
      <c r="C323" s="23"/>
      <c r="D323" s="23"/>
      <c r="E323" s="1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18"/>
    </row>
    <row r="324" customFormat="false" ht="15" hidden="false" customHeight="false" outlineLevel="0" collapsed="false">
      <c r="A324" s="23"/>
      <c r="B324" s="23"/>
      <c r="C324" s="23"/>
      <c r="D324" s="23"/>
      <c r="E324" s="1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18"/>
    </row>
    <row r="325" customFormat="false" ht="15" hidden="false" customHeight="false" outlineLevel="0" collapsed="false">
      <c r="A325" s="23"/>
      <c r="B325" s="23"/>
      <c r="C325" s="23"/>
      <c r="D325" s="23"/>
      <c r="E325" s="1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18"/>
    </row>
    <row r="326" customFormat="false" ht="15" hidden="false" customHeight="false" outlineLevel="0" collapsed="false">
      <c r="A326" s="23"/>
      <c r="B326" s="23"/>
      <c r="C326" s="23"/>
      <c r="D326" s="23"/>
      <c r="E326" s="1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18"/>
    </row>
    <row r="327" customFormat="false" ht="15" hidden="false" customHeight="false" outlineLevel="0" collapsed="false">
      <c r="A327" s="23"/>
      <c r="B327" s="23"/>
      <c r="C327" s="23"/>
      <c r="D327" s="23"/>
      <c r="E327" s="1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18"/>
    </row>
    <row r="328" customFormat="false" ht="15" hidden="false" customHeight="false" outlineLevel="0" collapsed="false">
      <c r="A328" s="23"/>
      <c r="B328" s="23"/>
      <c r="C328" s="23"/>
      <c r="D328" s="23"/>
      <c r="E328" s="1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18"/>
    </row>
    <row r="329" customFormat="false" ht="15" hidden="false" customHeight="false" outlineLevel="0" collapsed="false">
      <c r="A329" s="23"/>
      <c r="B329" s="23"/>
      <c r="C329" s="23"/>
      <c r="D329" s="23"/>
      <c r="E329" s="1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18"/>
    </row>
    <row r="330" customFormat="false" ht="15" hidden="false" customHeight="false" outlineLevel="0" collapsed="false">
      <c r="A330" s="23"/>
      <c r="B330" s="23"/>
      <c r="C330" s="23"/>
      <c r="D330" s="23"/>
      <c r="E330" s="1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18"/>
    </row>
    <row r="331" customFormat="false" ht="15" hidden="false" customHeight="false" outlineLevel="0" collapsed="false">
      <c r="A331" s="23"/>
      <c r="B331" s="23"/>
      <c r="C331" s="23"/>
      <c r="D331" s="23"/>
      <c r="E331" s="1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18"/>
    </row>
    <row r="332" customFormat="false" ht="15" hidden="false" customHeight="false" outlineLevel="0" collapsed="false">
      <c r="A332" s="23"/>
      <c r="B332" s="23"/>
      <c r="C332" s="23"/>
      <c r="D332" s="23"/>
      <c r="E332" s="1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18"/>
    </row>
    <row r="333" customFormat="false" ht="15" hidden="false" customHeight="false" outlineLevel="0" collapsed="false">
      <c r="A333" s="23"/>
      <c r="B333" s="23"/>
      <c r="C333" s="23"/>
      <c r="D333" s="23"/>
      <c r="E333" s="1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18"/>
    </row>
    <row r="334" customFormat="false" ht="15" hidden="false" customHeight="false" outlineLevel="0" collapsed="false">
      <c r="A334" s="23"/>
      <c r="B334" s="23"/>
      <c r="C334" s="23"/>
      <c r="D334" s="23"/>
      <c r="E334" s="1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18"/>
    </row>
    <row r="335" customFormat="false" ht="15" hidden="false" customHeight="false" outlineLevel="0" collapsed="false">
      <c r="A335" s="23"/>
      <c r="B335" s="23"/>
      <c r="C335" s="23"/>
      <c r="D335" s="23"/>
      <c r="E335" s="1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18"/>
    </row>
    <row r="336" customFormat="false" ht="15" hidden="false" customHeight="false" outlineLevel="0" collapsed="false">
      <c r="A336" s="23"/>
      <c r="B336" s="23"/>
      <c r="C336" s="23"/>
      <c r="D336" s="23"/>
      <c r="E336" s="1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18"/>
    </row>
    <row r="337" customFormat="false" ht="15" hidden="false" customHeight="false" outlineLevel="0" collapsed="false">
      <c r="A337" s="23"/>
      <c r="B337" s="23"/>
      <c r="C337" s="23"/>
      <c r="D337" s="23"/>
      <c r="E337" s="1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18"/>
    </row>
    <row r="338" customFormat="false" ht="15" hidden="false" customHeight="false" outlineLevel="0" collapsed="false">
      <c r="A338" s="23"/>
      <c r="B338" s="23"/>
      <c r="C338" s="23"/>
      <c r="D338" s="23"/>
      <c r="E338" s="1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18"/>
    </row>
    <row r="339" customFormat="false" ht="15" hidden="false" customHeight="false" outlineLevel="0" collapsed="false">
      <c r="A339" s="23"/>
      <c r="B339" s="23"/>
      <c r="C339" s="23"/>
      <c r="D339" s="23"/>
      <c r="E339" s="1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18"/>
    </row>
    <row r="340" customFormat="false" ht="15" hidden="false" customHeight="false" outlineLevel="0" collapsed="false">
      <c r="A340" s="23"/>
      <c r="B340" s="23"/>
      <c r="C340" s="23"/>
      <c r="D340" s="23"/>
      <c r="E340" s="1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18"/>
    </row>
    <row r="341" customFormat="false" ht="15" hidden="false" customHeight="false" outlineLevel="0" collapsed="false">
      <c r="A341" s="23"/>
      <c r="B341" s="23"/>
      <c r="C341" s="23"/>
      <c r="D341" s="23"/>
      <c r="E341" s="1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18"/>
    </row>
    <row r="342" customFormat="false" ht="15" hidden="false" customHeight="false" outlineLevel="0" collapsed="false">
      <c r="A342" s="23"/>
      <c r="B342" s="23"/>
      <c r="C342" s="23"/>
      <c r="D342" s="23"/>
      <c r="E342" s="1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18"/>
    </row>
    <row r="343" customFormat="false" ht="15" hidden="false" customHeight="false" outlineLevel="0" collapsed="false">
      <c r="A343" s="23"/>
      <c r="B343" s="23"/>
      <c r="C343" s="23"/>
      <c r="D343" s="23"/>
      <c r="E343" s="1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18"/>
    </row>
    <row r="344" customFormat="false" ht="15" hidden="false" customHeight="false" outlineLevel="0" collapsed="false">
      <c r="A344" s="23"/>
      <c r="B344" s="23"/>
      <c r="C344" s="23"/>
      <c r="D344" s="23"/>
      <c r="E344" s="1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18"/>
    </row>
    <row r="345" customFormat="false" ht="15" hidden="false" customHeight="false" outlineLevel="0" collapsed="false">
      <c r="A345" s="23"/>
      <c r="B345" s="23"/>
      <c r="C345" s="23"/>
      <c r="D345" s="23"/>
      <c r="E345" s="1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18"/>
    </row>
    <row r="346" customFormat="false" ht="15" hidden="false" customHeight="false" outlineLevel="0" collapsed="false">
      <c r="A346" s="23"/>
      <c r="B346" s="23"/>
      <c r="C346" s="23"/>
      <c r="D346" s="23"/>
      <c r="E346" s="1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18"/>
    </row>
    <row r="347" customFormat="false" ht="15" hidden="false" customHeight="false" outlineLevel="0" collapsed="false">
      <c r="A347" s="23"/>
      <c r="B347" s="23"/>
      <c r="C347" s="23"/>
      <c r="D347" s="23"/>
      <c r="E347" s="1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18"/>
    </row>
    <row r="348" customFormat="false" ht="15" hidden="false" customHeight="false" outlineLevel="0" collapsed="false">
      <c r="A348" s="23"/>
      <c r="B348" s="23"/>
      <c r="C348" s="23"/>
      <c r="D348" s="23"/>
      <c r="E348" s="1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18"/>
    </row>
    <row r="349" customFormat="false" ht="15" hidden="false" customHeight="false" outlineLevel="0" collapsed="false">
      <c r="A349" s="23"/>
      <c r="B349" s="23"/>
      <c r="C349" s="23"/>
      <c r="D349" s="23"/>
      <c r="E349" s="1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18"/>
    </row>
    <row r="350" customFormat="false" ht="15" hidden="false" customHeight="false" outlineLevel="0" collapsed="false">
      <c r="A350" s="23"/>
      <c r="B350" s="23"/>
      <c r="C350" s="23"/>
      <c r="D350" s="23"/>
      <c r="E350" s="1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18"/>
    </row>
    <row r="351" customFormat="false" ht="15" hidden="false" customHeight="false" outlineLevel="0" collapsed="false">
      <c r="A351" s="23"/>
      <c r="B351" s="23"/>
      <c r="C351" s="23"/>
      <c r="D351" s="23"/>
      <c r="E351" s="1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18"/>
    </row>
    <row r="352" customFormat="false" ht="15" hidden="false" customHeight="false" outlineLevel="0" collapsed="false">
      <c r="A352" s="23"/>
      <c r="B352" s="23"/>
      <c r="C352" s="23"/>
      <c r="D352" s="23"/>
      <c r="E352" s="1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18"/>
    </row>
    <row r="353" customFormat="false" ht="15" hidden="false" customHeight="false" outlineLevel="0" collapsed="false">
      <c r="A353" s="23"/>
      <c r="B353" s="23"/>
      <c r="C353" s="23"/>
      <c r="D353" s="23"/>
      <c r="E353" s="1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18"/>
    </row>
    <row r="354" customFormat="false" ht="15" hidden="false" customHeight="false" outlineLevel="0" collapsed="false">
      <c r="A354" s="23"/>
      <c r="B354" s="23"/>
      <c r="C354" s="23"/>
      <c r="D354" s="23"/>
      <c r="E354" s="1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18"/>
    </row>
    <row r="355" customFormat="false" ht="15" hidden="false" customHeight="false" outlineLevel="0" collapsed="false">
      <c r="A355" s="23"/>
      <c r="B355" s="23"/>
      <c r="C355" s="23"/>
      <c r="D355" s="23"/>
      <c r="E355" s="1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18"/>
    </row>
    <row r="356" customFormat="false" ht="15" hidden="false" customHeight="false" outlineLevel="0" collapsed="false">
      <c r="A356" s="23"/>
      <c r="B356" s="23"/>
      <c r="C356" s="23"/>
      <c r="D356" s="23"/>
      <c r="E356" s="1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18"/>
    </row>
    <row r="357" customFormat="false" ht="15" hidden="false" customHeight="false" outlineLevel="0" collapsed="false">
      <c r="A357" s="23"/>
      <c r="B357" s="23"/>
      <c r="C357" s="23"/>
      <c r="D357" s="23"/>
      <c r="E357" s="1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18"/>
    </row>
    <row r="358" customFormat="false" ht="15" hidden="false" customHeight="false" outlineLevel="0" collapsed="false">
      <c r="A358" s="23"/>
      <c r="B358" s="23"/>
      <c r="C358" s="23"/>
      <c r="D358" s="23"/>
      <c r="E358" s="1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18"/>
    </row>
    <row r="359" customFormat="false" ht="15" hidden="false" customHeight="false" outlineLevel="0" collapsed="false">
      <c r="A359" s="23"/>
      <c r="B359" s="23"/>
      <c r="C359" s="23"/>
      <c r="D359" s="23"/>
      <c r="E359" s="1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18"/>
    </row>
    <row r="360" customFormat="false" ht="15" hidden="false" customHeight="false" outlineLevel="0" collapsed="false">
      <c r="A360" s="23"/>
      <c r="B360" s="23"/>
      <c r="C360" s="23"/>
      <c r="D360" s="23"/>
      <c r="E360" s="1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18"/>
    </row>
    <row r="361" customFormat="false" ht="15" hidden="false" customHeight="false" outlineLevel="0" collapsed="false">
      <c r="A361" s="23"/>
      <c r="B361" s="23"/>
      <c r="C361" s="23"/>
      <c r="D361" s="23"/>
      <c r="E361" s="1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18"/>
    </row>
    <row r="362" customFormat="false" ht="15" hidden="false" customHeight="false" outlineLevel="0" collapsed="false">
      <c r="A362" s="23"/>
      <c r="B362" s="23"/>
      <c r="C362" s="23"/>
      <c r="D362" s="23"/>
      <c r="E362" s="1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18"/>
    </row>
    <row r="363" customFormat="false" ht="15" hidden="false" customHeight="false" outlineLevel="0" collapsed="false">
      <c r="A363" s="23"/>
      <c r="B363" s="23"/>
      <c r="C363" s="23"/>
      <c r="D363" s="23"/>
      <c r="E363" s="1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18"/>
    </row>
    <row r="364" customFormat="false" ht="15" hidden="false" customHeight="false" outlineLevel="0" collapsed="false">
      <c r="A364" s="23"/>
      <c r="B364" s="23"/>
      <c r="C364" s="23"/>
      <c r="D364" s="23"/>
      <c r="E364" s="1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18"/>
    </row>
    <row r="365" customFormat="false" ht="15" hidden="false" customHeight="false" outlineLevel="0" collapsed="false">
      <c r="A365" s="23"/>
      <c r="B365" s="23"/>
      <c r="C365" s="23"/>
      <c r="D365" s="23"/>
      <c r="E365" s="1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18"/>
    </row>
    <row r="366" customFormat="false" ht="15" hidden="false" customHeight="false" outlineLevel="0" collapsed="false">
      <c r="A366" s="23"/>
      <c r="B366" s="23"/>
      <c r="C366" s="23"/>
      <c r="D366" s="23"/>
      <c r="E366" s="1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18"/>
    </row>
    <row r="367" customFormat="false" ht="15" hidden="false" customHeight="false" outlineLevel="0" collapsed="false">
      <c r="A367" s="23"/>
      <c r="B367" s="23"/>
      <c r="C367" s="23"/>
      <c r="D367" s="23"/>
      <c r="E367" s="1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18"/>
    </row>
    <row r="368" customFormat="false" ht="15" hidden="false" customHeight="false" outlineLevel="0" collapsed="false">
      <c r="A368" s="23"/>
      <c r="B368" s="23"/>
      <c r="C368" s="23"/>
      <c r="D368" s="23"/>
      <c r="E368" s="1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18"/>
    </row>
    <row r="369" customFormat="false" ht="15" hidden="false" customHeight="false" outlineLevel="0" collapsed="false">
      <c r="A369" s="23"/>
      <c r="B369" s="23"/>
      <c r="C369" s="23"/>
      <c r="D369" s="23"/>
      <c r="E369" s="1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18"/>
    </row>
    <row r="370" customFormat="false" ht="15" hidden="false" customHeight="false" outlineLevel="0" collapsed="false">
      <c r="A370" s="23"/>
      <c r="B370" s="23"/>
      <c r="C370" s="23"/>
      <c r="D370" s="23"/>
      <c r="E370" s="1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18"/>
    </row>
    <row r="371" customFormat="false" ht="15" hidden="false" customHeight="false" outlineLevel="0" collapsed="false">
      <c r="A371" s="23"/>
      <c r="B371" s="23"/>
      <c r="C371" s="23"/>
      <c r="D371" s="23"/>
      <c r="E371" s="1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18"/>
    </row>
    <row r="372" customFormat="false" ht="15" hidden="false" customHeight="false" outlineLevel="0" collapsed="false">
      <c r="A372" s="23"/>
      <c r="B372" s="23"/>
      <c r="C372" s="23"/>
      <c r="D372" s="23"/>
      <c r="E372" s="1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18"/>
    </row>
    <row r="373" customFormat="false" ht="15" hidden="false" customHeight="false" outlineLevel="0" collapsed="false">
      <c r="A373" s="23"/>
      <c r="B373" s="23"/>
      <c r="C373" s="23"/>
      <c r="D373" s="23"/>
      <c r="E373" s="1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18"/>
    </row>
    <row r="374" customFormat="false" ht="15" hidden="false" customHeight="false" outlineLevel="0" collapsed="false">
      <c r="A374" s="23"/>
      <c r="B374" s="23"/>
      <c r="C374" s="23"/>
      <c r="D374" s="23"/>
      <c r="E374" s="1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18"/>
    </row>
    <row r="375" customFormat="false" ht="15" hidden="false" customHeight="false" outlineLevel="0" collapsed="false">
      <c r="A375" s="23"/>
      <c r="B375" s="23"/>
      <c r="C375" s="23"/>
      <c r="D375" s="23"/>
      <c r="E375" s="1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18"/>
    </row>
    <row r="376" customFormat="false" ht="15" hidden="false" customHeight="false" outlineLevel="0" collapsed="false">
      <c r="A376" s="23"/>
      <c r="B376" s="23"/>
      <c r="C376" s="23"/>
      <c r="D376" s="23"/>
      <c r="E376" s="1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18"/>
    </row>
    <row r="377" customFormat="false" ht="15" hidden="false" customHeight="false" outlineLevel="0" collapsed="false">
      <c r="A377" s="23"/>
      <c r="B377" s="23"/>
      <c r="C377" s="23"/>
      <c r="D377" s="23"/>
      <c r="E377" s="1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18"/>
    </row>
    <row r="378" customFormat="false" ht="15" hidden="false" customHeight="false" outlineLevel="0" collapsed="false">
      <c r="A378" s="23"/>
      <c r="B378" s="23"/>
      <c r="C378" s="23"/>
      <c r="D378" s="23"/>
      <c r="E378" s="1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18"/>
    </row>
    <row r="379" customFormat="false" ht="15" hidden="false" customHeight="false" outlineLevel="0" collapsed="false">
      <c r="A379" s="23"/>
      <c r="B379" s="23"/>
      <c r="C379" s="23"/>
      <c r="D379" s="23"/>
      <c r="E379" s="1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18"/>
    </row>
    <row r="380" customFormat="false" ht="15" hidden="false" customHeight="false" outlineLevel="0" collapsed="false">
      <c r="A380" s="23"/>
      <c r="B380" s="23"/>
      <c r="C380" s="23"/>
      <c r="D380" s="23"/>
      <c r="E380" s="1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18"/>
    </row>
    <row r="381" customFormat="false" ht="15" hidden="false" customHeight="false" outlineLevel="0" collapsed="false">
      <c r="A381" s="23"/>
      <c r="B381" s="23"/>
      <c r="C381" s="23"/>
      <c r="D381" s="23"/>
      <c r="E381" s="1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18"/>
    </row>
    <row r="382" customFormat="false" ht="15" hidden="false" customHeight="false" outlineLevel="0" collapsed="false">
      <c r="A382" s="23"/>
      <c r="B382" s="23"/>
      <c r="C382" s="23"/>
      <c r="D382" s="23"/>
      <c r="E382" s="1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18"/>
    </row>
    <row r="383" customFormat="false" ht="15" hidden="false" customHeight="false" outlineLevel="0" collapsed="false">
      <c r="A383" s="23"/>
      <c r="B383" s="23"/>
      <c r="C383" s="23"/>
      <c r="D383" s="23"/>
      <c r="E383" s="1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18"/>
    </row>
    <row r="384" customFormat="false" ht="15" hidden="false" customHeight="false" outlineLevel="0" collapsed="false">
      <c r="A384" s="23"/>
      <c r="B384" s="23"/>
      <c r="C384" s="23"/>
      <c r="D384" s="23"/>
      <c r="E384" s="1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18"/>
    </row>
    <row r="385" customFormat="false" ht="15" hidden="false" customHeight="false" outlineLevel="0" collapsed="false">
      <c r="A385" s="23"/>
      <c r="B385" s="23"/>
      <c r="C385" s="23"/>
      <c r="D385" s="23"/>
      <c r="E385" s="1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18"/>
    </row>
    <row r="386" customFormat="false" ht="15" hidden="false" customHeight="false" outlineLevel="0" collapsed="false">
      <c r="A386" s="23"/>
      <c r="B386" s="23"/>
      <c r="C386" s="23"/>
      <c r="D386" s="23"/>
      <c r="E386" s="1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18"/>
    </row>
    <row r="387" customFormat="false" ht="15" hidden="false" customHeight="false" outlineLevel="0" collapsed="false">
      <c r="A387" s="23"/>
      <c r="B387" s="23"/>
      <c r="C387" s="23"/>
      <c r="D387" s="23"/>
      <c r="E387" s="1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18"/>
    </row>
    <row r="388" customFormat="false" ht="15" hidden="false" customHeight="false" outlineLevel="0" collapsed="false">
      <c r="A388" s="23"/>
      <c r="B388" s="23"/>
      <c r="C388" s="23"/>
      <c r="D388" s="23"/>
      <c r="E388" s="1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18"/>
    </row>
    <row r="389" customFormat="false" ht="15" hidden="false" customHeight="false" outlineLevel="0" collapsed="false">
      <c r="A389" s="23"/>
      <c r="B389" s="23"/>
      <c r="C389" s="23"/>
      <c r="D389" s="23"/>
      <c r="E389" s="1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18"/>
    </row>
    <row r="390" customFormat="false" ht="15" hidden="false" customHeight="false" outlineLevel="0" collapsed="false">
      <c r="A390" s="23"/>
      <c r="B390" s="23"/>
      <c r="C390" s="23"/>
      <c r="D390" s="23"/>
      <c r="E390" s="1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18"/>
    </row>
    <row r="391" customFormat="false" ht="15" hidden="false" customHeight="false" outlineLevel="0" collapsed="false">
      <c r="A391" s="23"/>
      <c r="B391" s="23"/>
      <c r="C391" s="23"/>
      <c r="D391" s="23"/>
      <c r="E391" s="1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18"/>
    </row>
    <row r="392" customFormat="false" ht="15" hidden="false" customHeight="false" outlineLevel="0" collapsed="false">
      <c r="A392" s="23"/>
      <c r="B392" s="23"/>
      <c r="C392" s="23"/>
      <c r="D392" s="23"/>
      <c r="E392" s="1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18"/>
    </row>
    <row r="393" customFormat="false" ht="15" hidden="false" customHeight="false" outlineLevel="0" collapsed="false">
      <c r="A393" s="23"/>
      <c r="B393" s="23"/>
      <c r="C393" s="23"/>
      <c r="D393" s="23"/>
      <c r="E393" s="1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18"/>
    </row>
    <row r="394" customFormat="false" ht="15" hidden="false" customHeight="false" outlineLevel="0" collapsed="false">
      <c r="A394" s="23"/>
      <c r="B394" s="23"/>
      <c r="C394" s="23"/>
      <c r="D394" s="23"/>
      <c r="E394" s="1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18"/>
    </row>
    <row r="395" customFormat="false" ht="15" hidden="false" customHeight="false" outlineLevel="0" collapsed="false">
      <c r="A395" s="23"/>
      <c r="B395" s="23"/>
      <c r="C395" s="23"/>
      <c r="D395" s="23"/>
      <c r="E395" s="1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18"/>
    </row>
    <row r="396" customFormat="false" ht="15" hidden="false" customHeight="false" outlineLevel="0" collapsed="false">
      <c r="A396" s="23"/>
      <c r="B396" s="23"/>
      <c r="C396" s="23"/>
      <c r="D396" s="23"/>
      <c r="E396" s="1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18"/>
    </row>
    <row r="397" customFormat="false" ht="15" hidden="false" customHeight="false" outlineLevel="0" collapsed="false">
      <c r="A397" s="23"/>
      <c r="B397" s="23"/>
      <c r="C397" s="23"/>
      <c r="D397" s="23"/>
      <c r="E397" s="1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18"/>
    </row>
    <row r="398" customFormat="false" ht="15" hidden="false" customHeight="false" outlineLevel="0" collapsed="false">
      <c r="A398" s="23"/>
      <c r="B398" s="23"/>
      <c r="C398" s="23"/>
      <c r="D398" s="23"/>
      <c r="E398" s="1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18"/>
    </row>
    <row r="399" customFormat="false" ht="15" hidden="false" customHeight="false" outlineLevel="0" collapsed="false">
      <c r="A399" s="23"/>
      <c r="B399" s="23"/>
      <c r="C399" s="23"/>
      <c r="D399" s="23"/>
      <c r="E399" s="1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18"/>
    </row>
    <row r="400" customFormat="false" ht="15" hidden="false" customHeight="false" outlineLevel="0" collapsed="false">
      <c r="A400" s="23"/>
      <c r="B400" s="23"/>
      <c r="C400" s="23"/>
      <c r="D400" s="23"/>
      <c r="E400" s="1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18"/>
    </row>
  </sheetData>
  <dataValidations count="15">
    <dataValidation allowBlank="true" errorStyle="stop" operator="between" showDropDown="false" showErrorMessage="false" showInputMessage="false" sqref="D2:D400" type="list">
      <formula1>Lists!$G$2:$G$5</formula1>
      <formula2>0</formula2>
    </dataValidation>
    <dataValidation allowBlank="true" errorStyle="stop" operator="between" showDropDown="false" showErrorMessage="false" showInputMessage="false" sqref="G2:G400" type="list">
      <formula1>Lists!$I$2:$I$8</formula1>
      <formula2>0</formula2>
    </dataValidation>
    <dataValidation allowBlank="true" errorStyle="stop" operator="between" showDropDown="false" showErrorMessage="false" showInputMessage="false" sqref="R2:R400" type="list">
      <formula1>Lists!$J$2:$J$12</formula1>
      <formula2>0</formula2>
    </dataValidation>
    <dataValidation allowBlank="true" errorStyle="stop" operator="between" showDropDown="false" showErrorMessage="false" showInputMessage="false" sqref="S2:S400" type="list">
      <formula1>Lists!$H$2:$H$5</formula1>
      <formula2>0</formula2>
    </dataValidation>
    <dataValidation allowBlank="true" errorStyle="stop" operator="between" showDropDown="false" showErrorMessage="false" showInputMessage="false" sqref="F2:F400" type="list">
      <formula1>Lists!$K$2:$K$3</formula1>
      <formula2>0</formula2>
    </dataValidation>
    <dataValidation allowBlank="true" errorStyle="stop" operator="between" showDropDown="false" showErrorMessage="false" showInputMessage="false" sqref="H2:H400" type="list">
      <formula1>Lists!$K$2:$K$3</formula1>
      <formula2>0</formula2>
    </dataValidation>
    <dataValidation allowBlank="true" errorStyle="stop" operator="between" showDropDown="false" showErrorMessage="false" showInputMessage="false" sqref="I2:I400" type="list">
      <formula1>Lists!$K$2:$K$3</formula1>
      <formula2>0</formula2>
    </dataValidation>
    <dataValidation allowBlank="true" errorStyle="stop" operator="between" showDropDown="false" showErrorMessage="false" showInputMessage="false" sqref="J2:J400" type="list">
      <formula1>Lists!$K$2:$K$3</formula1>
      <formula2>0</formula2>
    </dataValidation>
    <dataValidation allowBlank="true" errorStyle="stop" operator="between" showDropDown="false" showErrorMessage="false" showInputMessage="false" sqref="K2:K400" type="list">
      <formula1>Lists!$K$2:$K$3</formula1>
      <formula2>0</formula2>
    </dataValidation>
    <dataValidation allowBlank="true" errorStyle="stop" operator="between" showDropDown="false" showErrorMessage="false" showInputMessage="false" sqref="L2:L400" type="list">
      <formula1>Lists!$K$2:$K$3</formula1>
      <formula2>0</formula2>
    </dataValidation>
    <dataValidation allowBlank="true" errorStyle="stop" operator="between" showDropDown="false" showErrorMessage="false" showInputMessage="false" sqref="M2:M400" type="list">
      <formula1>Lists!$K$2:$K$3</formula1>
      <formula2>0</formula2>
    </dataValidation>
    <dataValidation allowBlank="true" errorStyle="stop" operator="between" showDropDown="false" showErrorMessage="false" showInputMessage="false" sqref="N2:N400" type="list">
      <formula1>Lists!$K$2:$K$3</formula1>
      <formula2>0</formula2>
    </dataValidation>
    <dataValidation allowBlank="true" errorStyle="stop" operator="between" showDropDown="false" showErrorMessage="false" showInputMessage="false" sqref="O2:O400" type="list">
      <formula1>Lists!$K$2:$K$3</formula1>
      <formula2>0</formula2>
    </dataValidation>
    <dataValidation allowBlank="true" errorStyle="stop" operator="between" showDropDown="false" showErrorMessage="false" showInputMessage="false" sqref="P2:P400" type="list">
      <formula1>Lists!$K$2:$K$3</formula1>
      <formula2>0</formula2>
    </dataValidation>
    <dataValidation allowBlank="true" errorStyle="stop" operator="between" showDropDown="false" showErrorMessage="false" showInputMessage="false" sqref="Q2:Q400" type="list">
      <formula1>Lists!$K$2:$K$3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16" min="3" style="0" width="11"/>
  </cols>
  <sheetData>
    <row r="1" customFormat="false" ht="31.5" hidden="false" customHeight="true" outlineLevel="0" collapsed="false">
      <c r="A1" s="9" t="s">
        <v>53</v>
      </c>
      <c r="B1" s="9" t="s">
        <v>162</v>
      </c>
      <c r="C1" s="9" t="s">
        <v>163</v>
      </c>
      <c r="D1" s="9" t="s">
        <v>164</v>
      </c>
      <c r="E1" s="9" t="s">
        <v>165</v>
      </c>
      <c r="F1" s="9" t="s">
        <v>166</v>
      </c>
      <c r="G1" s="9" t="s">
        <v>167</v>
      </c>
      <c r="H1" s="9" t="s">
        <v>168</v>
      </c>
      <c r="I1" s="9" t="s">
        <v>169</v>
      </c>
      <c r="J1" s="9" t="s">
        <v>170</v>
      </c>
      <c r="K1" s="9" t="s">
        <v>171</v>
      </c>
      <c r="L1" s="9" t="s">
        <v>172</v>
      </c>
      <c r="M1" s="9" t="s">
        <v>173</v>
      </c>
      <c r="N1" s="9" t="s">
        <v>174</v>
      </c>
      <c r="O1" s="9" t="s">
        <v>175</v>
      </c>
      <c r="P1" s="9" t="s">
        <v>176</v>
      </c>
    </row>
    <row r="2" customFormat="false" ht="15" hidden="false" customHeight="false" outlineLevel="0" collapsed="false">
      <c r="A2" s="22" t="str">
        <f aca="false">Cases!A2</f>
        <v>EX-01</v>
      </c>
      <c r="B2" s="22" t="n">
        <f aca="false">COUNTIFS(Passages!$B$2:$B$400,$A2,Passages!$D$2:$D$400,"Commission analysis")</f>
        <v>1</v>
      </c>
      <c r="C2" s="22" t="n">
        <f aca="false">COUNTIFS(Passages!$B$2:$B$400,$A2,Passages!$D$2:$D$400,"Commission analysis",Passages!$F$2:$F$400,1)</f>
        <v>0</v>
      </c>
      <c r="D2" s="22" t="n">
        <f aca="false">COUNTIFS(Passages!$B$2:$B$400,$A2,Passages!$D$2:$D$400,"Commission analysis",Passages!$H$2:$H$400,1)</f>
        <v>0</v>
      </c>
      <c r="E2" s="22" t="n">
        <f aca="false">COUNTIFS(Passages!$B$2:$B$400,$A2,Passages!$D$2:$D$400,"Commission analysis",Passages!$I$2:$I$400,1)</f>
        <v>0</v>
      </c>
      <c r="F2" s="22" t="n">
        <f aca="false">COUNTIFS(Passages!$B$2:$B$400,$A2,Passages!$D$2:$D$400,"Commission analysis",Passages!$J$2:$J$400,1)</f>
        <v>0</v>
      </c>
      <c r="G2" s="22" t="n">
        <f aca="false">COUNTIFS(Passages!$B$2:$B$400,$A2,Passages!$D$2:$D$400,"Commission analysis",Passages!$K$2:$K$400,1)</f>
        <v>0</v>
      </c>
      <c r="H2" s="22" t="n">
        <f aca="false">COUNTIFS(Passages!$B$2:$B$400,$A2,Passages!$D$2:$D$400,"Commission analysis",Passages!$L$2:$L$400,1)</f>
        <v>0</v>
      </c>
      <c r="I2" s="22" t="n">
        <f aca="false">COUNTIFS(Passages!$B$2:$B$400,$A2,Passages!$D$2:$D$400,"Commission analysis",Passages!$M$2:$M$400,1)</f>
        <v>0</v>
      </c>
      <c r="J2" s="22" t="n">
        <f aca="false">COUNTIFS(Passages!$B$2:$B$400,$A2,Passages!$D$2:$D$400,"Commission analysis",Passages!$N$2:$N$400,1)</f>
        <v>0</v>
      </c>
      <c r="K2" s="22" t="n">
        <f aca="false">COUNTIFS(Passages!$B$2:$B$400,$A2,Passages!$D$2:$D$400,"Commission analysis",Passages!$O$2:$O$400,1)</f>
        <v>0</v>
      </c>
      <c r="L2" s="22" t="n">
        <f aca="false">COUNTIFS(Passages!$B$2:$B$400,$A2,Passages!$D$2:$D$400,"Commission analysis",Passages!$P$2:$P$400,1)</f>
        <v>0</v>
      </c>
      <c r="M2" s="22" t="n">
        <f aca="false">COUNTIFS(Passages!$B$2:$B$400,$A2,Passages!$D$2:$D$400,"Commission analysis",Passages!$Q$2:$Q$400,1)</f>
        <v>1</v>
      </c>
      <c r="N2" s="22" t="n">
        <f aca="false">IF(B2=0,"",IF((D2+E2+F2)&gt;0,1,0))</f>
        <v>0</v>
      </c>
      <c r="O2" s="22" t="n">
        <f aca="false">IF(B2=0,"",IF(C2&gt;0,1,0))</f>
        <v>0</v>
      </c>
      <c r="P2" s="24" t="str">
        <f aca="false">IF((D2+E2+F2)+C2=0,"",(D2+E2+F2)/((D2+E2+F2)+C2))</f>
        <v/>
      </c>
    </row>
    <row r="3" customFormat="false" ht="15" hidden="false" customHeight="false" outlineLevel="0" collapsed="false">
      <c r="A3" s="25" t="str">
        <f aca="false">Cases!A3</f>
        <v>P01</v>
      </c>
      <c r="B3" s="25" t="n">
        <f aca="false">COUNTIFS(Passages!$B$2:$B$400,$A3,Passages!$D$2:$D$400,"Commission analysis")</f>
        <v>0</v>
      </c>
      <c r="C3" s="25" t="n">
        <f aca="false">COUNTIFS(Passages!$B$2:$B$400,$A3,Passages!$D$2:$D$400,"Commission analysis",Passages!$F$2:$F$400,1)</f>
        <v>0</v>
      </c>
      <c r="D3" s="25" t="n">
        <f aca="false">COUNTIFS(Passages!$B$2:$B$400,$A3,Passages!$D$2:$D$400,"Commission analysis",Passages!$H$2:$H$400,1)</f>
        <v>0</v>
      </c>
      <c r="E3" s="25" t="n">
        <f aca="false">COUNTIFS(Passages!$B$2:$B$400,$A3,Passages!$D$2:$D$400,"Commission analysis",Passages!$I$2:$I$400,1)</f>
        <v>0</v>
      </c>
      <c r="F3" s="25" t="n">
        <f aca="false">COUNTIFS(Passages!$B$2:$B$400,$A3,Passages!$D$2:$D$400,"Commission analysis",Passages!$J$2:$J$400,1)</f>
        <v>0</v>
      </c>
      <c r="G3" s="25" t="n">
        <f aca="false">COUNTIFS(Passages!$B$2:$B$400,$A3,Passages!$D$2:$D$400,"Commission analysis",Passages!$K$2:$K$400,1)</f>
        <v>0</v>
      </c>
      <c r="H3" s="25" t="n">
        <f aca="false">COUNTIFS(Passages!$B$2:$B$400,$A3,Passages!$D$2:$D$400,"Commission analysis",Passages!$L$2:$L$400,1)</f>
        <v>0</v>
      </c>
      <c r="I3" s="25" t="n">
        <f aca="false">COUNTIFS(Passages!$B$2:$B$400,$A3,Passages!$D$2:$D$400,"Commission analysis",Passages!$M$2:$M$400,1)</f>
        <v>0</v>
      </c>
      <c r="J3" s="25" t="n">
        <f aca="false">COUNTIFS(Passages!$B$2:$B$400,$A3,Passages!$D$2:$D$400,"Commission analysis",Passages!$N$2:$N$400,1)</f>
        <v>0</v>
      </c>
      <c r="K3" s="25" t="n">
        <f aca="false">COUNTIFS(Passages!$B$2:$B$400,$A3,Passages!$D$2:$D$400,"Commission analysis",Passages!$O$2:$O$400,1)</f>
        <v>0</v>
      </c>
      <c r="L3" s="25" t="n">
        <f aca="false">COUNTIFS(Passages!$B$2:$B$400,$A3,Passages!$D$2:$D$400,"Commission analysis",Passages!$P$2:$P$400,1)</f>
        <v>0</v>
      </c>
      <c r="M3" s="25" t="n">
        <f aca="false">COUNTIFS(Passages!$B$2:$B$400,$A3,Passages!$D$2:$D$400,"Commission analysis",Passages!$Q$2:$Q$400,1)</f>
        <v>0</v>
      </c>
      <c r="N3" s="25" t="str">
        <f aca="false">IF(B3=0,"",IF((D3+E3+F3)&gt;0,1,0))</f>
        <v/>
      </c>
      <c r="O3" s="25" t="str">
        <f aca="false">IF(B3=0,"",IF(C3&gt;0,1,0))</f>
        <v/>
      </c>
      <c r="P3" s="26" t="str">
        <f aca="false">IF((D3+E3+F3)+C3=0,"",(D3+E3+F3)/((D3+E3+F3)+C3))</f>
        <v/>
      </c>
    </row>
    <row r="4" customFormat="false" ht="15" hidden="false" customHeight="false" outlineLevel="0" collapsed="false">
      <c r="A4" s="25" t="str">
        <f aca="false">Cases!A4</f>
        <v>P02</v>
      </c>
      <c r="B4" s="25" t="n">
        <f aca="false">COUNTIFS(Passages!$B$2:$B$400,$A4,Passages!$D$2:$D$400,"Commission analysis")</f>
        <v>0</v>
      </c>
      <c r="C4" s="25" t="n">
        <f aca="false">COUNTIFS(Passages!$B$2:$B$400,$A4,Passages!$D$2:$D$400,"Commission analysis",Passages!$F$2:$F$400,1)</f>
        <v>0</v>
      </c>
      <c r="D4" s="25" t="n">
        <f aca="false">COUNTIFS(Passages!$B$2:$B$400,$A4,Passages!$D$2:$D$400,"Commission analysis",Passages!$H$2:$H$400,1)</f>
        <v>0</v>
      </c>
      <c r="E4" s="25" t="n">
        <f aca="false">COUNTIFS(Passages!$B$2:$B$400,$A4,Passages!$D$2:$D$400,"Commission analysis",Passages!$I$2:$I$400,1)</f>
        <v>0</v>
      </c>
      <c r="F4" s="25" t="n">
        <f aca="false">COUNTIFS(Passages!$B$2:$B$400,$A4,Passages!$D$2:$D$400,"Commission analysis",Passages!$J$2:$J$400,1)</f>
        <v>0</v>
      </c>
      <c r="G4" s="25" t="n">
        <f aca="false">COUNTIFS(Passages!$B$2:$B$400,$A4,Passages!$D$2:$D$400,"Commission analysis",Passages!$K$2:$K$400,1)</f>
        <v>0</v>
      </c>
      <c r="H4" s="25" t="n">
        <f aca="false">COUNTIFS(Passages!$B$2:$B$400,$A4,Passages!$D$2:$D$400,"Commission analysis",Passages!$L$2:$L$400,1)</f>
        <v>0</v>
      </c>
      <c r="I4" s="25" t="n">
        <f aca="false">COUNTIFS(Passages!$B$2:$B$400,$A4,Passages!$D$2:$D$400,"Commission analysis",Passages!$M$2:$M$400,1)</f>
        <v>0</v>
      </c>
      <c r="J4" s="25" t="n">
        <f aca="false">COUNTIFS(Passages!$B$2:$B$400,$A4,Passages!$D$2:$D$400,"Commission analysis",Passages!$N$2:$N$400,1)</f>
        <v>0</v>
      </c>
      <c r="K4" s="25" t="n">
        <f aca="false">COUNTIFS(Passages!$B$2:$B$400,$A4,Passages!$D$2:$D$400,"Commission analysis",Passages!$O$2:$O$400,1)</f>
        <v>0</v>
      </c>
      <c r="L4" s="25" t="n">
        <f aca="false">COUNTIFS(Passages!$B$2:$B$400,$A4,Passages!$D$2:$D$400,"Commission analysis",Passages!$P$2:$P$400,1)</f>
        <v>0</v>
      </c>
      <c r="M4" s="25" t="n">
        <f aca="false">COUNTIFS(Passages!$B$2:$B$400,$A4,Passages!$D$2:$D$400,"Commission analysis",Passages!$Q$2:$Q$400,1)</f>
        <v>0</v>
      </c>
      <c r="N4" s="25" t="str">
        <f aca="false">IF(B4=0,"",IF((D4+E4+F4)&gt;0,1,0))</f>
        <v/>
      </c>
      <c r="O4" s="25" t="str">
        <f aca="false">IF(B4=0,"",IF(C4&gt;0,1,0))</f>
        <v/>
      </c>
      <c r="P4" s="26" t="str">
        <f aca="false">IF((D4+E4+F4)+C4=0,"",(D4+E4+F4)/((D4+E4+F4)+C4))</f>
        <v/>
      </c>
    </row>
    <row r="5" customFormat="false" ht="15" hidden="false" customHeight="false" outlineLevel="0" collapsed="false">
      <c r="A5" s="25" t="str">
        <f aca="false">Cases!A5</f>
        <v>P03</v>
      </c>
      <c r="B5" s="25" t="n">
        <f aca="false">COUNTIFS(Passages!$B$2:$B$400,$A5,Passages!$D$2:$D$400,"Commission analysis")</f>
        <v>0</v>
      </c>
      <c r="C5" s="25" t="n">
        <f aca="false">COUNTIFS(Passages!$B$2:$B$400,$A5,Passages!$D$2:$D$400,"Commission analysis",Passages!$F$2:$F$400,1)</f>
        <v>0</v>
      </c>
      <c r="D5" s="25" t="n">
        <f aca="false">COUNTIFS(Passages!$B$2:$B$400,$A5,Passages!$D$2:$D$400,"Commission analysis",Passages!$H$2:$H$400,1)</f>
        <v>0</v>
      </c>
      <c r="E5" s="25" t="n">
        <f aca="false">COUNTIFS(Passages!$B$2:$B$400,$A5,Passages!$D$2:$D$400,"Commission analysis",Passages!$I$2:$I$400,1)</f>
        <v>0</v>
      </c>
      <c r="F5" s="25" t="n">
        <f aca="false">COUNTIFS(Passages!$B$2:$B$400,$A5,Passages!$D$2:$D$400,"Commission analysis",Passages!$J$2:$J$400,1)</f>
        <v>0</v>
      </c>
      <c r="G5" s="25" t="n">
        <f aca="false">COUNTIFS(Passages!$B$2:$B$400,$A5,Passages!$D$2:$D$400,"Commission analysis",Passages!$K$2:$K$400,1)</f>
        <v>0</v>
      </c>
      <c r="H5" s="25" t="n">
        <f aca="false">COUNTIFS(Passages!$B$2:$B$400,$A5,Passages!$D$2:$D$400,"Commission analysis",Passages!$L$2:$L$400,1)</f>
        <v>0</v>
      </c>
      <c r="I5" s="25" t="n">
        <f aca="false">COUNTIFS(Passages!$B$2:$B$400,$A5,Passages!$D$2:$D$400,"Commission analysis",Passages!$M$2:$M$400,1)</f>
        <v>0</v>
      </c>
      <c r="J5" s="25" t="n">
        <f aca="false">COUNTIFS(Passages!$B$2:$B$400,$A5,Passages!$D$2:$D$400,"Commission analysis",Passages!$N$2:$N$400,1)</f>
        <v>0</v>
      </c>
      <c r="K5" s="25" t="n">
        <f aca="false">COUNTIFS(Passages!$B$2:$B$400,$A5,Passages!$D$2:$D$400,"Commission analysis",Passages!$O$2:$O$400,1)</f>
        <v>0</v>
      </c>
      <c r="L5" s="25" t="n">
        <f aca="false">COUNTIFS(Passages!$B$2:$B$400,$A5,Passages!$D$2:$D$400,"Commission analysis",Passages!$P$2:$P$400,1)</f>
        <v>0</v>
      </c>
      <c r="M5" s="25" t="n">
        <f aca="false">COUNTIFS(Passages!$B$2:$B$400,$A5,Passages!$D$2:$D$400,"Commission analysis",Passages!$Q$2:$Q$400,1)</f>
        <v>0</v>
      </c>
      <c r="N5" s="25" t="str">
        <f aca="false">IF(B5=0,"",IF((D5+E5+F5)&gt;0,1,0))</f>
        <v/>
      </c>
      <c r="O5" s="25" t="str">
        <f aca="false">IF(B5=0,"",IF(C5&gt;0,1,0))</f>
        <v/>
      </c>
      <c r="P5" s="26" t="str">
        <f aca="false">IF((D5+E5+F5)+C5=0,"",(D5+E5+F5)/((D5+E5+F5)+C5))</f>
        <v/>
      </c>
    </row>
    <row r="6" customFormat="false" ht="15" hidden="false" customHeight="false" outlineLevel="0" collapsed="false">
      <c r="A6" s="25" t="str">
        <f aca="false">Cases!A6</f>
        <v>P04</v>
      </c>
      <c r="B6" s="25" t="n">
        <f aca="false">COUNTIFS(Passages!$B$2:$B$400,$A6,Passages!$D$2:$D$400,"Commission analysis")</f>
        <v>0</v>
      </c>
      <c r="C6" s="25" t="n">
        <f aca="false">COUNTIFS(Passages!$B$2:$B$400,$A6,Passages!$D$2:$D$400,"Commission analysis",Passages!$F$2:$F$400,1)</f>
        <v>0</v>
      </c>
      <c r="D6" s="25" t="n">
        <f aca="false">COUNTIFS(Passages!$B$2:$B$400,$A6,Passages!$D$2:$D$400,"Commission analysis",Passages!$H$2:$H$400,1)</f>
        <v>0</v>
      </c>
      <c r="E6" s="25" t="n">
        <f aca="false">COUNTIFS(Passages!$B$2:$B$400,$A6,Passages!$D$2:$D$400,"Commission analysis",Passages!$I$2:$I$400,1)</f>
        <v>0</v>
      </c>
      <c r="F6" s="25" t="n">
        <f aca="false">COUNTIFS(Passages!$B$2:$B$400,$A6,Passages!$D$2:$D$400,"Commission analysis",Passages!$J$2:$J$400,1)</f>
        <v>0</v>
      </c>
      <c r="G6" s="25" t="n">
        <f aca="false">COUNTIFS(Passages!$B$2:$B$400,$A6,Passages!$D$2:$D$400,"Commission analysis",Passages!$K$2:$K$400,1)</f>
        <v>0</v>
      </c>
      <c r="H6" s="25" t="n">
        <f aca="false">COUNTIFS(Passages!$B$2:$B$400,$A6,Passages!$D$2:$D$400,"Commission analysis",Passages!$L$2:$L$400,1)</f>
        <v>0</v>
      </c>
      <c r="I6" s="25" t="n">
        <f aca="false">COUNTIFS(Passages!$B$2:$B$400,$A6,Passages!$D$2:$D$400,"Commission analysis",Passages!$M$2:$M$400,1)</f>
        <v>0</v>
      </c>
      <c r="J6" s="25" t="n">
        <f aca="false">COUNTIFS(Passages!$B$2:$B$400,$A6,Passages!$D$2:$D$400,"Commission analysis",Passages!$N$2:$N$400,1)</f>
        <v>0</v>
      </c>
      <c r="K6" s="25" t="n">
        <f aca="false">COUNTIFS(Passages!$B$2:$B$400,$A6,Passages!$D$2:$D$400,"Commission analysis",Passages!$O$2:$O$400,1)</f>
        <v>0</v>
      </c>
      <c r="L6" s="25" t="n">
        <f aca="false">COUNTIFS(Passages!$B$2:$B$400,$A6,Passages!$D$2:$D$400,"Commission analysis",Passages!$P$2:$P$400,1)</f>
        <v>0</v>
      </c>
      <c r="M6" s="25" t="n">
        <f aca="false">COUNTIFS(Passages!$B$2:$B$400,$A6,Passages!$D$2:$D$400,"Commission analysis",Passages!$Q$2:$Q$400,1)</f>
        <v>0</v>
      </c>
      <c r="N6" s="25" t="str">
        <f aca="false">IF(B6=0,"",IF((D6+E6+F6)&gt;0,1,0))</f>
        <v/>
      </c>
      <c r="O6" s="25" t="str">
        <f aca="false">IF(B6=0,"",IF(C6&gt;0,1,0))</f>
        <v/>
      </c>
      <c r="P6" s="26" t="str">
        <f aca="false">IF((D6+E6+F6)+C6=0,"",(D6+E6+F6)/((D6+E6+F6)+C6))</f>
        <v/>
      </c>
    </row>
    <row r="7" customFormat="false" ht="15" hidden="false" customHeight="false" outlineLevel="0" collapsed="false">
      <c r="A7" s="25" t="str">
        <f aca="false">Cases!A7</f>
        <v>P05</v>
      </c>
      <c r="B7" s="25" t="n">
        <f aca="false">COUNTIFS(Passages!$B$2:$B$400,$A7,Passages!$D$2:$D$400,"Commission analysis")</f>
        <v>0</v>
      </c>
      <c r="C7" s="25" t="n">
        <f aca="false">COUNTIFS(Passages!$B$2:$B$400,$A7,Passages!$D$2:$D$400,"Commission analysis",Passages!$F$2:$F$400,1)</f>
        <v>0</v>
      </c>
      <c r="D7" s="25" t="n">
        <f aca="false">COUNTIFS(Passages!$B$2:$B$400,$A7,Passages!$D$2:$D$400,"Commission analysis",Passages!$H$2:$H$400,1)</f>
        <v>0</v>
      </c>
      <c r="E7" s="25" t="n">
        <f aca="false">COUNTIFS(Passages!$B$2:$B$400,$A7,Passages!$D$2:$D$400,"Commission analysis",Passages!$I$2:$I$400,1)</f>
        <v>0</v>
      </c>
      <c r="F7" s="25" t="n">
        <f aca="false">COUNTIFS(Passages!$B$2:$B$400,$A7,Passages!$D$2:$D$400,"Commission analysis",Passages!$J$2:$J$400,1)</f>
        <v>0</v>
      </c>
      <c r="G7" s="25" t="n">
        <f aca="false">COUNTIFS(Passages!$B$2:$B$400,$A7,Passages!$D$2:$D$400,"Commission analysis",Passages!$K$2:$K$400,1)</f>
        <v>0</v>
      </c>
      <c r="H7" s="25" t="n">
        <f aca="false">COUNTIFS(Passages!$B$2:$B$400,$A7,Passages!$D$2:$D$400,"Commission analysis",Passages!$L$2:$L$400,1)</f>
        <v>0</v>
      </c>
      <c r="I7" s="25" t="n">
        <f aca="false">COUNTIFS(Passages!$B$2:$B$400,$A7,Passages!$D$2:$D$400,"Commission analysis",Passages!$M$2:$M$400,1)</f>
        <v>0</v>
      </c>
      <c r="J7" s="25" t="n">
        <f aca="false">COUNTIFS(Passages!$B$2:$B$400,$A7,Passages!$D$2:$D$400,"Commission analysis",Passages!$N$2:$N$400,1)</f>
        <v>0</v>
      </c>
      <c r="K7" s="25" t="n">
        <f aca="false">COUNTIFS(Passages!$B$2:$B$400,$A7,Passages!$D$2:$D$400,"Commission analysis",Passages!$O$2:$O$400,1)</f>
        <v>0</v>
      </c>
      <c r="L7" s="25" t="n">
        <f aca="false">COUNTIFS(Passages!$B$2:$B$400,$A7,Passages!$D$2:$D$400,"Commission analysis",Passages!$P$2:$P$400,1)</f>
        <v>0</v>
      </c>
      <c r="M7" s="25" t="n">
        <f aca="false">COUNTIFS(Passages!$B$2:$B$400,$A7,Passages!$D$2:$D$400,"Commission analysis",Passages!$Q$2:$Q$400,1)</f>
        <v>0</v>
      </c>
      <c r="N7" s="25" t="str">
        <f aca="false">IF(B7=0,"",IF((D7+E7+F7)&gt;0,1,0))</f>
        <v/>
      </c>
      <c r="O7" s="25" t="str">
        <f aca="false">IF(B7=0,"",IF(C7&gt;0,1,0))</f>
        <v/>
      </c>
      <c r="P7" s="26" t="str">
        <f aca="false">IF((D7+E7+F7)+C7=0,"",(D7+E7+F7)/((D7+E7+F7)+C7))</f>
        <v/>
      </c>
    </row>
    <row r="8" customFormat="false" ht="15" hidden="false" customHeight="false" outlineLevel="0" collapsed="false">
      <c r="A8" s="25" t="str">
        <f aca="false">Cases!A8</f>
        <v>P06</v>
      </c>
      <c r="B8" s="25" t="n">
        <f aca="false">COUNTIFS(Passages!$B$2:$B$400,$A8,Passages!$D$2:$D$400,"Commission analysis")</f>
        <v>0</v>
      </c>
      <c r="C8" s="25" t="n">
        <f aca="false">COUNTIFS(Passages!$B$2:$B$400,$A8,Passages!$D$2:$D$400,"Commission analysis",Passages!$F$2:$F$400,1)</f>
        <v>0</v>
      </c>
      <c r="D8" s="25" t="n">
        <f aca="false">COUNTIFS(Passages!$B$2:$B$400,$A8,Passages!$D$2:$D$400,"Commission analysis",Passages!$H$2:$H$400,1)</f>
        <v>0</v>
      </c>
      <c r="E8" s="25" t="n">
        <f aca="false">COUNTIFS(Passages!$B$2:$B$400,$A8,Passages!$D$2:$D$400,"Commission analysis",Passages!$I$2:$I$400,1)</f>
        <v>0</v>
      </c>
      <c r="F8" s="25" t="n">
        <f aca="false">COUNTIFS(Passages!$B$2:$B$400,$A8,Passages!$D$2:$D$400,"Commission analysis",Passages!$J$2:$J$400,1)</f>
        <v>0</v>
      </c>
      <c r="G8" s="25" t="n">
        <f aca="false">COUNTIFS(Passages!$B$2:$B$400,$A8,Passages!$D$2:$D$400,"Commission analysis",Passages!$K$2:$K$400,1)</f>
        <v>0</v>
      </c>
      <c r="H8" s="25" t="n">
        <f aca="false">COUNTIFS(Passages!$B$2:$B$400,$A8,Passages!$D$2:$D$400,"Commission analysis",Passages!$L$2:$L$400,1)</f>
        <v>0</v>
      </c>
      <c r="I8" s="25" t="n">
        <f aca="false">COUNTIFS(Passages!$B$2:$B$400,$A8,Passages!$D$2:$D$400,"Commission analysis",Passages!$M$2:$M$400,1)</f>
        <v>0</v>
      </c>
      <c r="J8" s="25" t="n">
        <f aca="false">COUNTIFS(Passages!$B$2:$B$400,$A8,Passages!$D$2:$D$400,"Commission analysis",Passages!$N$2:$N$400,1)</f>
        <v>0</v>
      </c>
      <c r="K8" s="25" t="n">
        <f aca="false">COUNTIFS(Passages!$B$2:$B$400,$A8,Passages!$D$2:$D$400,"Commission analysis",Passages!$O$2:$O$400,1)</f>
        <v>0</v>
      </c>
      <c r="L8" s="25" t="n">
        <f aca="false">COUNTIFS(Passages!$B$2:$B$400,$A8,Passages!$D$2:$D$400,"Commission analysis",Passages!$P$2:$P$400,1)</f>
        <v>0</v>
      </c>
      <c r="M8" s="25" t="n">
        <f aca="false">COUNTIFS(Passages!$B$2:$B$400,$A8,Passages!$D$2:$D$400,"Commission analysis",Passages!$Q$2:$Q$400,1)</f>
        <v>0</v>
      </c>
      <c r="N8" s="25" t="str">
        <f aca="false">IF(B8=0,"",IF((D8+E8+F8)&gt;0,1,0))</f>
        <v/>
      </c>
      <c r="O8" s="25" t="str">
        <f aca="false">IF(B8=0,"",IF(C8&gt;0,1,0))</f>
        <v/>
      </c>
      <c r="P8" s="26" t="str">
        <f aca="false">IF((D8+E8+F8)+C8=0,"",(D8+E8+F8)/((D8+E8+F8)+C8))</f>
        <v/>
      </c>
    </row>
    <row r="9" customFormat="false" ht="15" hidden="false" customHeight="false" outlineLevel="0" collapsed="false">
      <c r="A9" s="25" t="str">
        <f aca="false">Cases!A9</f>
        <v>P07</v>
      </c>
      <c r="B9" s="25" t="n">
        <f aca="false">COUNTIFS(Passages!$B$2:$B$400,$A9,Passages!$D$2:$D$400,"Commission analysis")</f>
        <v>0</v>
      </c>
      <c r="C9" s="25" t="n">
        <f aca="false">COUNTIFS(Passages!$B$2:$B$400,$A9,Passages!$D$2:$D$400,"Commission analysis",Passages!$F$2:$F$400,1)</f>
        <v>0</v>
      </c>
      <c r="D9" s="25" t="n">
        <f aca="false">COUNTIFS(Passages!$B$2:$B$400,$A9,Passages!$D$2:$D$400,"Commission analysis",Passages!$H$2:$H$400,1)</f>
        <v>0</v>
      </c>
      <c r="E9" s="25" t="n">
        <f aca="false">COUNTIFS(Passages!$B$2:$B$400,$A9,Passages!$D$2:$D$400,"Commission analysis",Passages!$I$2:$I$400,1)</f>
        <v>0</v>
      </c>
      <c r="F9" s="25" t="n">
        <f aca="false">COUNTIFS(Passages!$B$2:$B$400,$A9,Passages!$D$2:$D$400,"Commission analysis",Passages!$J$2:$J$400,1)</f>
        <v>0</v>
      </c>
      <c r="G9" s="25" t="n">
        <f aca="false">COUNTIFS(Passages!$B$2:$B$400,$A9,Passages!$D$2:$D$400,"Commission analysis",Passages!$K$2:$K$400,1)</f>
        <v>0</v>
      </c>
      <c r="H9" s="25" t="n">
        <f aca="false">COUNTIFS(Passages!$B$2:$B$400,$A9,Passages!$D$2:$D$400,"Commission analysis",Passages!$L$2:$L$400,1)</f>
        <v>0</v>
      </c>
      <c r="I9" s="25" t="n">
        <f aca="false">COUNTIFS(Passages!$B$2:$B$400,$A9,Passages!$D$2:$D$400,"Commission analysis",Passages!$M$2:$M$400,1)</f>
        <v>0</v>
      </c>
      <c r="J9" s="25" t="n">
        <f aca="false">COUNTIFS(Passages!$B$2:$B$400,$A9,Passages!$D$2:$D$400,"Commission analysis",Passages!$N$2:$N$400,1)</f>
        <v>0</v>
      </c>
      <c r="K9" s="25" t="n">
        <f aca="false">COUNTIFS(Passages!$B$2:$B$400,$A9,Passages!$D$2:$D$400,"Commission analysis",Passages!$O$2:$O$400,1)</f>
        <v>0</v>
      </c>
      <c r="L9" s="25" t="n">
        <f aca="false">COUNTIFS(Passages!$B$2:$B$400,$A9,Passages!$D$2:$D$400,"Commission analysis",Passages!$P$2:$P$400,1)</f>
        <v>0</v>
      </c>
      <c r="M9" s="25" t="n">
        <f aca="false">COUNTIFS(Passages!$B$2:$B$400,$A9,Passages!$D$2:$D$400,"Commission analysis",Passages!$Q$2:$Q$400,1)</f>
        <v>0</v>
      </c>
      <c r="N9" s="25" t="str">
        <f aca="false">IF(B9=0,"",IF((D9+E9+F9)&gt;0,1,0))</f>
        <v/>
      </c>
      <c r="O9" s="25" t="str">
        <f aca="false">IF(B9=0,"",IF(C9&gt;0,1,0))</f>
        <v/>
      </c>
      <c r="P9" s="26" t="str">
        <f aca="false">IF((D9+E9+F9)+C9=0,"",(D9+E9+F9)/((D9+E9+F9)+C9))</f>
        <v/>
      </c>
    </row>
    <row r="10" customFormat="false" ht="15" hidden="false" customHeight="false" outlineLevel="0" collapsed="false">
      <c r="A10" s="25" t="str">
        <f aca="false">Cases!A10</f>
        <v>P08</v>
      </c>
      <c r="B10" s="25" t="n">
        <f aca="false">COUNTIFS(Passages!$B$2:$B$400,$A10,Passages!$D$2:$D$400,"Commission analysis")</f>
        <v>0</v>
      </c>
      <c r="C10" s="25" t="n">
        <f aca="false">COUNTIFS(Passages!$B$2:$B$400,$A10,Passages!$D$2:$D$400,"Commission analysis",Passages!$F$2:$F$400,1)</f>
        <v>0</v>
      </c>
      <c r="D10" s="25" t="n">
        <f aca="false">COUNTIFS(Passages!$B$2:$B$400,$A10,Passages!$D$2:$D$400,"Commission analysis",Passages!$H$2:$H$400,1)</f>
        <v>0</v>
      </c>
      <c r="E10" s="25" t="n">
        <f aca="false">COUNTIFS(Passages!$B$2:$B$400,$A10,Passages!$D$2:$D$400,"Commission analysis",Passages!$I$2:$I$400,1)</f>
        <v>0</v>
      </c>
      <c r="F10" s="25" t="n">
        <f aca="false">COUNTIFS(Passages!$B$2:$B$400,$A10,Passages!$D$2:$D$400,"Commission analysis",Passages!$J$2:$J$400,1)</f>
        <v>0</v>
      </c>
      <c r="G10" s="25" t="n">
        <f aca="false">COUNTIFS(Passages!$B$2:$B$400,$A10,Passages!$D$2:$D$400,"Commission analysis",Passages!$K$2:$K$400,1)</f>
        <v>0</v>
      </c>
      <c r="H10" s="25" t="n">
        <f aca="false">COUNTIFS(Passages!$B$2:$B$400,$A10,Passages!$D$2:$D$400,"Commission analysis",Passages!$L$2:$L$400,1)</f>
        <v>0</v>
      </c>
      <c r="I10" s="25" t="n">
        <f aca="false">COUNTIFS(Passages!$B$2:$B$400,$A10,Passages!$D$2:$D$400,"Commission analysis",Passages!$M$2:$M$400,1)</f>
        <v>0</v>
      </c>
      <c r="J10" s="25" t="n">
        <f aca="false">COUNTIFS(Passages!$B$2:$B$400,$A10,Passages!$D$2:$D$400,"Commission analysis",Passages!$N$2:$N$400,1)</f>
        <v>0</v>
      </c>
      <c r="K10" s="25" t="n">
        <f aca="false">COUNTIFS(Passages!$B$2:$B$400,$A10,Passages!$D$2:$D$400,"Commission analysis",Passages!$O$2:$O$400,1)</f>
        <v>0</v>
      </c>
      <c r="L10" s="25" t="n">
        <f aca="false">COUNTIFS(Passages!$B$2:$B$400,$A10,Passages!$D$2:$D$400,"Commission analysis",Passages!$P$2:$P$400,1)</f>
        <v>0</v>
      </c>
      <c r="M10" s="25" t="n">
        <f aca="false">COUNTIFS(Passages!$B$2:$B$400,$A10,Passages!$D$2:$D$400,"Commission analysis",Passages!$Q$2:$Q$400,1)</f>
        <v>0</v>
      </c>
      <c r="N10" s="25" t="str">
        <f aca="false">IF(B10=0,"",IF((D10+E10+F10)&gt;0,1,0))</f>
        <v/>
      </c>
      <c r="O10" s="25" t="str">
        <f aca="false">IF(B10=0,"",IF(C10&gt;0,1,0))</f>
        <v/>
      </c>
      <c r="P10" s="26" t="str">
        <f aca="false">IF((D10+E10+F10)+C10=0,"",(D10+E10+F10)/((D10+E10+F10)+C10))</f>
        <v/>
      </c>
    </row>
    <row r="11" customFormat="false" ht="15" hidden="false" customHeight="false" outlineLevel="0" collapsed="false">
      <c r="A11" s="25" t="str">
        <f aca="false">Cases!A11</f>
        <v>P09</v>
      </c>
      <c r="B11" s="25" t="n">
        <f aca="false">COUNTIFS(Passages!$B$2:$B$400,$A11,Passages!$D$2:$D$400,"Commission analysis")</f>
        <v>0</v>
      </c>
      <c r="C11" s="25" t="n">
        <f aca="false">COUNTIFS(Passages!$B$2:$B$400,$A11,Passages!$D$2:$D$400,"Commission analysis",Passages!$F$2:$F$400,1)</f>
        <v>0</v>
      </c>
      <c r="D11" s="25" t="n">
        <f aca="false">COUNTIFS(Passages!$B$2:$B$400,$A11,Passages!$D$2:$D$400,"Commission analysis",Passages!$H$2:$H$400,1)</f>
        <v>0</v>
      </c>
      <c r="E11" s="25" t="n">
        <f aca="false">COUNTIFS(Passages!$B$2:$B$400,$A11,Passages!$D$2:$D$400,"Commission analysis",Passages!$I$2:$I$400,1)</f>
        <v>0</v>
      </c>
      <c r="F11" s="25" t="n">
        <f aca="false">COUNTIFS(Passages!$B$2:$B$400,$A11,Passages!$D$2:$D$400,"Commission analysis",Passages!$J$2:$J$400,1)</f>
        <v>0</v>
      </c>
      <c r="G11" s="25" t="n">
        <f aca="false">COUNTIFS(Passages!$B$2:$B$400,$A11,Passages!$D$2:$D$400,"Commission analysis",Passages!$K$2:$K$400,1)</f>
        <v>0</v>
      </c>
      <c r="H11" s="25" t="n">
        <f aca="false">COUNTIFS(Passages!$B$2:$B$400,$A11,Passages!$D$2:$D$400,"Commission analysis",Passages!$L$2:$L$400,1)</f>
        <v>0</v>
      </c>
      <c r="I11" s="25" t="n">
        <f aca="false">COUNTIFS(Passages!$B$2:$B$400,$A11,Passages!$D$2:$D$400,"Commission analysis",Passages!$M$2:$M$400,1)</f>
        <v>0</v>
      </c>
      <c r="J11" s="25" t="n">
        <f aca="false">COUNTIFS(Passages!$B$2:$B$400,$A11,Passages!$D$2:$D$400,"Commission analysis",Passages!$N$2:$N$400,1)</f>
        <v>0</v>
      </c>
      <c r="K11" s="25" t="n">
        <f aca="false">COUNTIFS(Passages!$B$2:$B$400,$A11,Passages!$D$2:$D$400,"Commission analysis",Passages!$O$2:$O$400,1)</f>
        <v>0</v>
      </c>
      <c r="L11" s="25" t="n">
        <f aca="false">COUNTIFS(Passages!$B$2:$B$400,$A11,Passages!$D$2:$D$400,"Commission analysis",Passages!$P$2:$P$400,1)</f>
        <v>0</v>
      </c>
      <c r="M11" s="25" t="n">
        <f aca="false">COUNTIFS(Passages!$B$2:$B$400,$A11,Passages!$D$2:$D$400,"Commission analysis",Passages!$Q$2:$Q$400,1)</f>
        <v>0</v>
      </c>
      <c r="N11" s="25" t="str">
        <f aca="false">IF(B11=0,"",IF((D11+E11+F11)&gt;0,1,0))</f>
        <v/>
      </c>
      <c r="O11" s="25" t="str">
        <f aca="false">IF(B11=0,"",IF(C11&gt;0,1,0))</f>
        <v/>
      </c>
      <c r="P11" s="26" t="str">
        <f aca="false">IF((D11+E11+F11)+C11=0,"",(D11+E11+F11)/((D11+E11+F11)+C11))</f>
        <v/>
      </c>
    </row>
    <row r="12" customFormat="false" ht="15" hidden="false" customHeight="false" outlineLevel="0" collapsed="false">
      <c r="A12" s="25" t="str">
        <f aca="false">Cases!A12</f>
        <v>P10</v>
      </c>
      <c r="B12" s="25" t="n">
        <f aca="false">COUNTIFS(Passages!$B$2:$B$400,$A12,Passages!$D$2:$D$400,"Commission analysis")</f>
        <v>0</v>
      </c>
      <c r="C12" s="25" t="n">
        <f aca="false">COUNTIFS(Passages!$B$2:$B$400,$A12,Passages!$D$2:$D$400,"Commission analysis",Passages!$F$2:$F$400,1)</f>
        <v>0</v>
      </c>
      <c r="D12" s="25" t="n">
        <f aca="false">COUNTIFS(Passages!$B$2:$B$400,$A12,Passages!$D$2:$D$400,"Commission analysis",Passages!$H$2:$H$400,1)</f>
        <v>0</v>
      </c>
      <c r="E12" s="25" t="n">
        <f aca="false">COUNTIFS(Passages!$B$2:$B$400,$A12,Passages!$D$2:$D$400,"Commission analysis",Passages!$I$2:$I$400,1)</f>
        <v>0</v>
      </c>
      <c r="F12" s="25" t="n">
        <f aca="false">COUNTIFS(Passages!$B$2:$B$400,$A12,Passages!$D$2:$D$400,"Commission analysis",Passages!$J$2:$J$400,1)</f>
        <v>0</v>
      </c>
      <c r="G12" s="25" t="n">
        <f aca="false">COUNTIFS(Passages!$B$2:$B$400,$A12,Passages!$D$2:$D$400,"Commission analysis",Passages!$K$2:$K$400,1)</f>
        <v>0</v>
      </c>
      <c r="H12" s="25" t="n">
        <f aca="false">COUNTIFS(Passages!$B$2:$B$400,$A12,Passages!$D$2:$D$400,"Commission analysis",Passages!$L$2:$L$400,1)</f>
        <v>0</v>
      </c>
      <c r="I12" s="25" t="n">
        <f aca="false">COUNTIFS(Passages!$B$2:$B$400,$A12,Passages!$D$2:$D$400,"Commission analysis",Passages!$M$2:$M$400,1)</f>
        <v>0</v>
      </c>
      <c r="J12" s="25" t="n">
        <f aca="false">COUNTIFS(Passages!$B$2:$B$400,$A12,Passages!$D$2:$D$400,"Commission analysis",Passages!$N$2:$N$400,1)</f>
        <v>0</v>
      </c>
      <c r="K12" s="25" t="n">
        <f aca="false">COUNTIFS(Passages!$B$2:$B$400,$A12,Passages!$D$2:$D$400,"Commission analysis",Passages!$O$2:$O$400,1)</f>
        <v>0</v>
      </c>
      <c r="L12" s="25" t="n">
        <f aca="false">COUNTIFS(Passages!$B$2:$B$400,$A12,Passages!$D$2:$D$400,"Commission analysis",Passages!$P$2:$P$400,1)</f>
        <v>0</v>
      </c>
      <c r="M12" s="25" t="n">
        <f aca="false">COUNTIFS(Passages!$B$2:$B$400,$A12,Passages!$D$2:$D$400,"Commission analysis",Passages!$Q$2:$Q$400,1)</f>
        <v>0</v>
      </c>
      <c r="N12" s="25" t="str">
        <f aca="false">IF(B12=0,"",IF((D12+E12+F12)&gt;0,1,0))</f>
        <v/>
      </c>
      <c r="O12" s="25" t="str">
        <f aca="false">IF(B12=0,"",IF(C12&gt;0,1,0))</f>
        <v/>
      </c>
      <c r="P12" s="26" t="str">
        <f aca="false">IF((D12+E12+F12)+C12=0,"",(D12+E12+F12)/((D12+E12+F12)+C12))</f>
        <v/>
      </c>
    </row>
    <row r="13" customFormat="false" ht="15" hidden="false" customHeight="false" outlineLevel="0" collapsed="false">
      <c r="A13" s="25" t="str">
        <f aca="false">Cases!A13</f>
        <v>P11</v>
      </c>
      <c r="B13" s="25" t="n">
        <f aca="false">COUNTIFS(Passages!$B$2:$B$400,$A13,Passages!$D$2:$D$400,"Commission analysis")</f>
        <v>0</v>
      </c>
      <c r="C13" s="25" t="n">
        <f aca="false">COUNTIFS(Passages!$B$2:$B$400,$A13,Passages!$D$2:$D$400,"Commission analysis",Passages!$F$2:$F$400,1)</f>
        <v>0</v>
      </c>
      <c r="D13" s="25" t="n">
        <f aca="false">COUNTIFS(Passages!$B$2:$B$400,$A13,Passages!$D$2:$D$400,"Commission analysis",Passages!$H$2:$H$400,1)</f>
        <v>0</v>
      </c>
      <c r="E13" s="25" t="n">
        <f aca="false">COUNTIFS(Passages!$B$2:$B$400,$A13,Passages!$D$2:$D$400,"Commission analysis",Passages!$I$2:$I$400,1)</f>
        <v>0</v>
      </c>
      <c r="F13" s="25" t="n">
        <f aca="false">COUNTIFS(Passages!$B$2:$B$400,$A13,Passages!$D$2:$D$400,"Commission analysis",Passages!$J$2:$J$400,1)</f>
        <v>0</v>
      </c>
      <c r="G13" s="25" t="n">
        <f aca="false">COUNTIFS(Passages!$B$2:$B$400,$A13,Passages!$D$2:$D$400,"Commission analysis",Passages!$K$2:$K$400,1)</f>
        <v>0</v>
      </c>
      <c r="H13" s="25" t="n">
        <f aca="false">COUNTIFS(Passages!$B$2:$B$400,$A13,Passages!$D$2:$D$400,"Commission analysis",Passages!$L$2:$L$400,1)</f>
        <v>0</v>
      </c>
      <c r="I13" s="25" t="n">
        <f aca="false">COUNTIFS(Passages!$B$2:$B$400,$A13,Passages!$D$2:$D$400,"Commission analysis",Passages!$M$2:$M$400,1)</f>
        <v>0</v>
      </c>
      <c r="J13" s="25" t="n">
        <f aca="false">COUNTIFS(Passages!$B$2:$B$400,$A13,Passages!$D$2:$D$400,"Commission analysis",Passages!$N$2:$N$400,1)</f>
        <v>0</v>
      </c>
      <c r="K13" s="25" t="n">
        <f aca="false">COUNTIFS(Passages!$B$2:$B$400,$A13,Passages!$D$2:$D$400,"Commission analysis",Passages!$O$2:$O$400,1)</f>
        <v>0</v>
      </c>
      <c r="L13" s="25" t="n">
        <f aca="false">COUNTIFS(Passages!$B$2:$B$400,$A13,Passages!$D$2:$D$400,"Commission analysis",Passages!$P$2:$P$400,1)</f>
        <v>0</v>
      </c>
      <c r="M13" s="25" t="n">
        <f aca="false">COUNTIFS(Passages!$B$2:$B$400,$A13,Passages!$D$2:$D$400,"Commission analysis",Passages!$Q$2:$Q$400,1)</f>
        <v>0</v>
      </c>
      <c r="N13" s="25" t="str">
        <f aca="false">IF(B13=0,"",IF((D13+E13+F13)&gt;0,1,0))</f>
        <v/>
      </c>
      <c r="O13" s="25" t="str">
        <f aca="false">IF(B13=0,"",IF(C13&gt;0,1,0))</f>
        <v/>
      </c>
      <c r="P13" s="26" t="str">
        <f aca="false">IF((D13+E13+F13)+C13=0,"",(D13+E13+F13)/((D13+E13+F13)+C13))</f>
        <v/>
      </c>
    </row>
    <row r="14" customFormat="false" ht="15" hidden="false" customHeight="false" outlineLevel="0" collapsed="false">
      <c r="A14" s="25" t="str">
        <f aca="false">Cases!A14</f>
        <v>P12</v>
      </c>
      <c r="B14" s="25" t="n">
        <f aca="false">COUNTIFS(Passages!$B$2:$B$400,$A14,Passages!$D$2:$D$400,"Commission analysis")</f>
        <v>0</v>
      </c>
      <c r="C14" s="25" t="n">
        <f aca="false">COUNTIFS(Passages!$B$2:$B$400,$A14,Passages!$D$2:$D$400,"Commission analysis",Passages!$F$2:$F$400,1)</f>
        <v>0</v>
      </c>
      <c r="D14" s="25" t="n">
        <f aca="false">COUNTIFS(Passages!$B$2:$B$400,$A14,Passages!$D$2:$D$400,"Commission analysis",Passages!$H$2:$H$400,1)</f>
        <v>0</v>
      </c>
      <c r="E14" s="25" t="n">
        <f aca="false">COUNTIFS(Passages!$B$2:$B$400,$A14,Passages!$D$2:$D$400,"Commission analysis",Passages!$I$2:$I$400,1)</f>
        <v>0</v>
      </c>
      <c r="F14" s="25" t="n">
        <f aca="false">COUNTIFS(Passages!$B$2:$B$400,$A14,Passages!$D$2:$D$400,"Commission analysis",Passages!$J$2:$J$400,1)</f>
        <v>0</v>
      </c>
      <c r="G14" s="25" t="n">
        <f aca="false">COUNTIFS(Passages!$B$2:$B$400,$A14,Passages!$D$2:$D$400,"Commission analysis",Passages!$K$2:$K$400,1)</f>
        <v>0</v>
      </c>
      <c r="H14" s="25" t="n">
        <f aca="false">COUNTIFS(Passages!$B$2:$B$400,$A14,Passages!$D$2:$D$400,"Commission analysis",Passages!$L$2:$L$400,1)</f>
        <v>0</v>
      </c>
      <c r="I14" s="25" t="n">
        <f aca="false">COUNTIFS(Passages!$B$2:$B$400,$A14,Passages!$D$2:$D$400,"Commission analysis",Passages!$M$2:$M$400,1)</f>
        <v>0</v>
      </c>
      <c r="J14" s="25" t="n">
        <f aca="false">COUNTIFS(Passages!$B$2:$B$400,$A14,Passages!$D$2:$D$400,"Commission analysis",Passages!$N$2:$N$400,1)</f>
        <v>0</v>
      </c>
      <c r="K14" s="25" t="n">
        <f aca="false">COUNTIFS(Passages!$B$2:$B$400,$A14,Passages!$D$2:$D$400,"Commission analysis",Passages!$O$2:$O$400,1)</f>
        <v>0</v>
      </c>
      <c r="L14" s="25" t="n">
        <f aca="false">COUNTIFS(Passages!$B$2:$B$400,$A14,Passages!$D$2:$D$400,"Commission analysis",Passages!$P$2:$P$400,1)</f>
        <v>0</v>
      </c>
      <c r="M14" s="25" t="n">
        <f aca="false">COUNTIFS(Passages!$B$2:$B$400,$A14,Passages!$D$2:$D$400,"Commission analysis",Passages!$Q$2:$Q$400,1)</f>
        <v>0</v>
      </c>
      <c r="N14" s="25" t="str">
        <f aca="false">IF(B14=0,"",IF((D14+E14+F14)&gt;0,1,0))</f>
        <v/>
      </c>
      <c r="O14" s="25" t="str">
        <f aca="false">IF(B14=0,"",IF(C14&gt;0,1,0))</f>
        <v/>
      </c>
      <c r="P14" s="26" t="str">
        <f aca="false">IF((D14+E14+F14)+C14=0,"",(D14+E14+F14)/((D14+E14+F14)+C14))</f>
        <v/>
      </c>
    </row>
    <row r="15" customFormat="false" ht="15" hidden="false" customHeight="false" outlineLevel="0" collapsed="false">
      <c r="A15" s="25" t="str">
        <f aca="false">Cases!A15</f>
        <v>P13</v>
      </c>
      <c r="B15" s="25" t="n">
        <f aca="false">COUNTIFS(Passages!$B$2:$B$400,$A15,Passages!$D$2:$D$400,"Commission analysis")</f>
        <v>0</v>
      </c>
      <c r="C15" s="25" t="n">
        <f aca="false">COUNTIFS(Passages!$B$2:$B$400,$A15,Passages!$D$2:$D$400,"Commission analysis",Passages!$F$2:$F$400,1)</f>
        <v>0</v>
      </c>
      <c r="D15" s="25" t="n">
        <f aca="false">COUNTIFS(Passages!$B$2:$B$400,$A15,Passages!$D$2:$D$400,"Commission analysis",Passages!$H$2:$H$400,1)</f>
        <v>0</v>
      </c>
      <c r="E15" s="25" t="n">
        <f aca="false">COUNTIFS(Passages!$B$2:$B$400,$A15,Passages!$D$2:$D$400,"Commission analysis",Passages!$I$2:$I$400,1)</f>
        <v>0</v>
      </c>
      <c r="F15" s="25" t="n">
        <f aca="false">COUNTIFS(Passages!$B$2:$B$400,$A15,Passages!$D$2:$D$400,"Commission analysis",Passages!$J$2:$J$400,1)</f>
        <v>0</v>
      </c>
      <c r="G15" s="25" t="n">
        <f aca="false">COUNTIFS(Passages!$B$2:$B$400,$A15,Passages!$D$2:$D$400,"Commission analysis",Passages!$K$2:$K$400,1)</f>
        <v>0</v>
      </c>
      <c r="H15" s="25" t="n">
        <f aca="false">COUNTIFS(Passages!$B$2:$B$400,$A15,Passages!$D$2:$D$400,"Commission analysis",Passages!$L$2:$L$400,1)</f>
        <v>0</v>
      </c>
      <c r="I15" s="25" t="n">
        <f aca="false">COUNTIFS(Passages!$B$2:$B$400,$A15,Passages!$D$2:$D$400,"Commission analysis",Passages!$M$2:$M$400,1)</f>
        <v>0</v>
      </c>
      <c r="J15" s="25" t="n">
        <f aca="false">COUNTIFS(Passages!$B$2:$B$400,$A15,Passages!$D$2:$D$400,"Commission analysis",Passages!$N$2:$N$400,1)</f>
        <v>0</v>
      </c>
      <c r="K15" s="25" t="n">
        <f aca="false">COUNTIFS(Passages!$B$2:$B$400,$A15,Passages!$D$2:$D$400,"Commission analysis",Passages!$O$2:$O$400,1)</f>
        <v>0</v>
      </c>
      <c r="L15" s="25" t="n">
        <f aca="false">COUNTIFS(Passages!$B$2:$B$400,$A15,Passages!$D$2:$D$400,"Commission analysis",Passages!$P$2:$P$400,1)</f>
        <v>0</v>
      </c>
      <c r="M15" s="25" t="n">
        <f aca="false">COUNTIFS(Passages!$B$2:$B$400,$A15,Passages!$D$2:$D$400,"Commission analysis",Passages!$Q$2:$Q$400,1)</f>
        <v>0</v>
      </c>
      <c r="N15" s="25" t="str">
        <f aca="false">IF(B15=0,"",IF((D15+E15+F15)&gt;0,1,0))</f>
        <v/>
      </c>
      <c r="O15" s="25" t="str">
        <f aca="false">IF(B15=0,"",IF(C15&gt;0,1,0))</f>
        <v/>
      </c>
      <c r="P15" s="26" t="str">
        <f aca="false">IF((D15+E15+F15)+C15=0,"",(D15+E15+F15)/((D15+E15+F15)+C15))</f>
        <v/>
      </c>
    </row>
    <row r="16" customFormat="false" ht="15" hidden="false" customHeight="false" outlineLevel="0" collapsed="false">
      <c r="A16" s="25" t="str">
        <f aca="false">Cases!A16</f>
        <v>P14</v>
      </c>
      <c r="B16" s="25" t="n">
        <f aca="false">COUNTIFS(Passages!$B$2:$B$400,$A16,Passages!$D$2:$D$400,"Commission analysis")</f>
        <v>0</v>
      </c>
      <c r="C16" s="25" t="n">
        <f aca="false">COUNTIFS(Passages!$B$2:$B$400,$A16,Passages!$D$2:$D$400,"Commission analysis",Passages!$F$2:$F$400,1)</f>
        <v>0</v>
      </c>
      <c r="D16" s="25" t="n">
        <f aca="false">COUNTIFS(Passages!$B$2:$B$400,$A16,Passages!$D$2:$D$400,"Commission analysis",Passages!$H$2:$H$400,1)</f>
        <v>0</v>
      </c>
      <c r="E16" s="25" t="n">
        <f aca="false">COUNTIFS(Passages!$B$2:$B$400,$A16,Passages!$D$2:$D$400,"Commission analysis",Passages!$I$2:$I$400,1)</f>
        <v>0</v>
      </c>
      <c r="F16" s="25" t="n">
        <f aca="false">COUNTIFS(Passages!$B$2:$B$400,$A16,Passages!$D$2:$D$400,"Commission analysis",Passages!$J$2:$J$400,1)</f>
        <v>0</v>
      </c>
      <c r="G16" s="25" t="n">
        <f aca="false">COUNTIFS(Passages!$B$2:$B$400,$A16,Passages!$D$2:$D$400,"Commission analysis",Passages!$K$2:$K$400,1)</f>
        <v>0</v>
      </c>
      <c r="H16" s="25" t="n">
        <f aca="false">COUNTIFS(Passages!$B$2:$B$400,$A16,Passages!$D$2:$D$400,"Commission analysis",Passages!$L$2:$L$400,1)</f>
        <v>0</v>
      </c>
      <c r="I16" s="25" t="n">
        <f aca="false">COUNTIFS(Passages!$B$2:$B$400,$A16,Passages!$D$2:$D$400,"Commission analysis",Passages!$M$2:$M$400,1)</f>
        <v>0</v>
      </c>
      <c r="J16" s="25" t="n">
        <f aca="false">COUNTIFS(Passages!$B$2:$B$400,$A16,Passages!$D$2:$D$400,"Commission analysis",Passages!$N$2:$N$400,1)</f>
        <v>0</v>
      </c>
      <c r="K16" s="25" t="n">
        <f aca="false">COUNTIFS(Passages!$B$2:$B$400,$A16,Passages!$D$2:$D$400,"Commission analysis",Passages!$O$2:$O$400,1)</f>
        <v>0</v>
      </c>
      <c r="L16" s="25" t="n">
        <f aca="false">COUNTIFS(Passages!$B$2:$B$400,$A16,Passages!$D$2:$D$400,"Commission analysis",Passages!$P$2:$P$400,1)</f>
        <v>0</v>
      </c>
      <c r="M16" s="25" t="n">
        <f aca="false">COUNTIFS(Passages!$B$2:$B$400,$A16,Passages!$D$2:$D$400,"Commission analysis",Passages!$Q$2:$Q$400,1)</f>
        <v>0</v>
      </c>
      <c r="N16" s="25" t="str">
        <f aca="false">IF(B16=0,"",IF((D16+E16+F16)&gt;0,1,0))</f>
        <v/>
      </c>
      <c r="O16" s="25" t="str">
        <f aca="false">IF(B16=0,"",IF(C16&gt;0,1,0))</f>
        <v/>
      </c>
      <c r="P16" s="26" t="str">
        <f aca="false">IF((D16+E16+F16)+C16=0,"",(D16+E16+F16)/((D16+E16+F16)+C16))</f>
        <v/>
      </c>
    </row>
    <row r="17" customFormat="false" ht="15" hidden="false" customHeight="false" outlineLevel="0" collapsed="false">
      <c r="A17" s="25" t="str">
        <f aca="false">Cases!A17</f>
        <v>P15</v>
      </c>
      <c r="B17" s="25" t="n">
        <f aca="false">COUNTIFS(Passages!$B$2:$B$400,$A17,Passages!$D$2:$D$400,"Commission analysis")</f>
        <v>0</v>
      </c>
      <c r="C17" s="25" t="n">
        <f aca="false">COUNTIFS(Passages!$B$2:$B$400,$A17,Passages!$D$2:$D$400,"Commission analysis",Passages!$F$2:$F$400,1)</f>
        <v>0</v>
      </c>
      <c r="D17" s="25" t="n">
        <f aca="false">COUNTIFS(Passages!$B$2:$B$400,$A17,Passages!$D$2:$D$400,"Commission analysis",Passages!$H$2:$H$400,1)</f>
        <v>0</v>
      </c>
      <c r="E17" s="25" t="n">
        <f aca="false">COUNTIFS(Passages!$B$2:$B$400,$A17,Passages!$D$2:$D$400,"Commission analysis",Passages!$I$2:$I$400,1)</f>
        <v>0</v>
      </c>
      <c r="F17" s="25" t="n">
        <f aca="false">COUNTIFS(Passages!$B$2:$B$400,$A17,Passages!$D$2:$D$400,"Commission analysis",Passages!$J$2:$J$400,1)</f>
        <v>0</v>
      </c>
      <c r="G17" s="25" t="n">
        <f aca="false">COUNTIFS(Passages!$B$2:$B$400,$A17,Passages!$D$2:$D$400,"Commission analysis",Passages!$K$2:$K$400,1)</f>
        <v>0</v>
      </c>
      <c r="H17" s="25" t="n">
        <f aca="false">COUNTIFS(Passages!$B$2:$B$400,$A17,Passages!$D$2:$D$400,"Commission analysis",Passages!$L$2:$L$400,1)</f>
        <v>0</v>
      </c>
      <c r="I17" s="25" t="n">
        <f aca="false">COUNTIFS(Passages!$B$2:$B$400,$A17,Passages!$D$2:$D$400,"Commission analysis",Passages!$M$2:$M$400,1)</f>
        <v>0</v>
      </c>
      <c r="J17" s="25" t="n">
        <f aca="false">COUNTIFS(Passages!$B$2:$B$400,$A17,Passages!$D$2:$D$400,"Commission analysis",Passages!$N$2:$N$400,1)</f>
        <v>0</v>
      </c>
      <c r="K17" s="25" t="n">
        <f aca="false">COUNTIFS(Passages!$B$2:$B$400,$A17,Passages!$D$2:$D$400,"Commission analysis",Passages!$O$2:$O$400,1)</f>
        <v>0</v>
      </c>
      <c r="L17" s="25" t="n">
        <f aca="false">COUNTIFS(Passages!$B$2:$B$400,$A17,Passages!$D$2:$D$400,"Commission analysis",Passages!$P$2:$P$400,1)</f>
        <v>0</v>
      </c>
      <c r="M17" s="25" t="n">
        <f aca="false">COUNTIFS(Passages!$B$2:$B$400,$A17,Passages!$D$2:$D$400,"Commission analysis",Passages!$Q$2:$Q$400,1)</f>
        <v>0</v>
      </c>
      <c r="N17" s="25" t="str">
        <f aca="false">IF(B17=0,"",IF((D17+E17+F17)&gt;0,1,0))</f>
        <v/>
      </c>
      <c r="O17" s="25" t="str">
        <f aca="false">IF(B17=0,"",IF(C17&gt;0,1,0))</f>
        <v/>
      </c>
      <c r="P17" s="26" t="str">
        <f aca="false">IF((D17+E17+F17)+C17=0,"",(D17+E17+F17)/((D17+E17+F17)+C17))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15" min="6" style="0" width="12"/>
  </cols>
  <sheetData>
    <row r="1" customFormat="false" ht="15" hidden="false" customHeight="false" outlineLevel="0" collapsed="false">
      <c r="A1" s="4" t="s">
        <v>136</v>
      </c>
      <c r="B1" s="4" t="s">
        <v>177</v>
      </c>
      <c r="C1" s="4" t="s">
        <v>178</v>
      </c>
      <c r="D1" s="4" t="s">
        <v>179</v>
      </c>
      <c r="F1" s="27" t="s">
        <v>177</v>
      </c>
      <c r="G1" s="27" t="s">
        <v>180</v>
      </c>
      <c r="H1" s="27" t="s">
        <v>181</v>
      </c>
      <c r="I1" s="27" t="s">
        <v>182</v>
      </c>
      <c r="J1" s="27" t="s">
        <v>183</v>
      </c>
      <c r="K1" s="27" t="s">
        <v>184</v>
      </c>
      <c r="L1" s="27" t="s">
        <v>185</v>
      </c>
      <c r="M1" s="27" t="s">
        <v>186</v>
      </c>
      <c r="N1" s="27" t="s">
        <v>187</v>
      </c>
      <c r="O1" s="27" t="s">
        <v>188</v>
      </c>
    </row>
    <row r="2" customFormat="false" ht="15" hidden="false" customHeight="false" outlineLevel="0" collapsed="false">
      <c r="A2" s="23"/>
      <c r="B2" s="23"/>
      <c r="C2" s="23"/>
      <c r="D2" s="23"/>
      <c r="F2" s="25" t="s">
        <v>140</v>
      </c>
      <c r="G2" s="25" t="n">
        <f aca="false">COUNTIFS($B$2:$B$601,F2,$C$2:$C$601,"&lt;&gt;",$D$2:$D$601,"&lt;&gt;")</f>
        <v>0</v>
      </c>
      <c r="H2" s="25" t="n">
        <f aca="false">COUNTIFS($B$2:$B$601,F2,$C$2:$C$601,1,$D$2:$D$601,1)</f>
        <v>0</v>
      </c>
      <c r="I2" s="25" t="n">
        <f aca="false">COUNTIFS($B$2:$B$601,F2,$C$2:$C$601,0,$D$2:$D$601,0)</f>
        <v>0</v>
      </c>
      <c r="J2" s="25" t="n">
        <f aca="false">COUNTIFS($B$2:$B$601,F2,$C$2:$C$601,1,$D$2:$D$601,"&lt;&gt;")</f>
        <v>0</v>
      </c>
      <c r="K2" s="25" t="n">
        <f aca="false">COUNTIFS($B$2:$B$601,F2,$D$2:$D$601,1,$C$2:$C$601,"&lt;&gt;")</f>
        <v>0</v>
      </c>
      <c r="L2" s="26" t="str">
        <f aca="false">IF(G2=0,"",(H2+I2)/G2)</f>
        <v/>
      </c>
      <c r="M2" s="26" t="str">
        <f aca="false">IF(G2=0,"",(J2/G2)*(K2/G2)+(1-J2/G2)*(1-K2/G2))</f>
        <v/>
      </c>
      <c r="N2" s="26" t="str">
        <f aca="false">IF(OR(G2=0,M2=1),"",(L2-M2)/(1-M2))</f>
        <v/>
      </c>
      <c r="O2" s="25" t="str">
        <f aca="false">IF(N2="","",IF(N2&gt;=0.7,"Yes","Rewrite"))</f>
        <v/>
      </c>
    </row>
    <row r="3" customFormat="false" ht="15" hidden="false" customHeight="false" outlineLevel="0" collapsed="false">
      <c r="A3" s="23"/>
      <c r="B3" s="23"/>
      <c r="C3" s="23"/>
      <c r="D3" s="23"/>
      <c r="F3" s="25" t="s">
        <v>142</v>
      </c>
      <c r="G3" s="25" t="n">
        <f aca="false">COUNTIFS($B$2:$B$601,F3,$C$2:$C$601,"&lt;&gt;",$D$2:$D$601,"&lt;&gt;")</f>
        <v>0</v>
      </c>
      <c r="H3" s="25" t="n">
        <f aca="false">COUNTIFS($B$2:$B$601,F3,$C$2:$C$601,1,$D$2:$D$601,1)</f>
        <v>0</v>
      </c>
      <c r="I3" s="25" t="n">
        <f aca="false">COUNTIFS($B$2:$B$601,F3,$C$2:$C$601,0,$D$2:$D$601,0)</f>
        <v>0</v>
      </c>
      <c r="J3" s="25" t="n">
        <f aca="false">COUNTIFS($B$2:$B$601,F3,$C$2:$C$601,1,$D$2:$D$601,"&lt;&gt;")</f>
        <v>0</v>
      </c>
      <c r="K3" s="25" t="n">
        <f aca="false">COUNTIFS($B$2:$B$601,F3,$D$2:$D$601,1,$C$2:$C$601,"&lt;&gt;")</f>
        <v>0</v>
      </c>
      <c r="L3" s="26" t="str">
        <f aca="false">IF(G3=0,"",(H3+I3)/G3)</f>
        <v/>
      </c>
      <c r="M3" s="26" t="str">
        <f aca="false">IF(G3=0,"",(J3/G3)*(K3/G3)+(1-J3/G3)*(1-K3/G3))</f>
        <v/>
      </c>
      <c r="N3" s="26" t="str">
        <f aca="false">IF(OR(G3=0,M3=1),"",(L3-M3)/(1-M3))</f>
        <v/>
      </c>
      <c r="O3" s="25" t="str">
        <f aca="false">IF(N3="","",IF(N3&gt;=0.7,"Yes","Rewrite"))</f>
        <v/>
      </c>
    </row>
    <row r="4" customFormat="false" ht="15" hidden="false" customHeight="false" outlineLevel="0" collapsed="false">
      <c r="A4" s="23"/>
      <c r="B4" s="23"/>
      <c r="C4" s="23"/>
      <c r="D4" s="23"/>
      <c r="F4" s="25" t="s">
        <v>143</v>
      </c>
      <c r="G4" s="25" t="n">
        <f aca="false">COUNTIFS($B$2:$B$601,F4,$C$2:$C$601,"&lt;&gt;",$D$2:$D$601,"&lt;&gt;")</f>
        <v>0</v>
      </c>
      <c r="H4" s="25" t="n">
        <f aca="false">COUNTIFS($B$2:$B$601,F4,$C$2:$C$601,1,$D$2:$D$601,1)</f>
        <v>0</v>
      </c>
      <c r="I4" s="25" t="n">
        <f aca="false">COUNTIFS($B$2:$B$601,F4,$C$2:$C$601,0,$D$2:$D$601,0)</f>
        <v>0</v>
      </c>
      <c r="J4" s="25" t="n">
        <f aca="false">COUNTIFS($B$2:$B$601,F4,$C$2:$C$601,1,$D$2:$D$601,"&lt;&gt;")</f>
        <v>0</v>
      </c>
      <c r="K4" s="25" t="n">
        <f aca="false">COUNTIFS($B$2:$B$601,F4,$D$2:$D$601,1,$C$2:$C$601,"&lt;&gt;")</f>
        <v>0</v>
      </c>
      <c r="L4" s="26" t="str">
        <f aca="false">IF(G4=0,"",(H4+I4)/G4)</f>
        <v/>
      </c>
      <c r="M4" s="26" t="str">
        <f aca="false">IF(G4=0,"",(J4/G4)*(K4/G4)+(1-J4/G4)*(1-K4/G4))</f>
        <v/>
      </c>
      <c r="N4" s="26" t="str">
        <f aca="false">IF(OR(G4=0,M4=1),"",(L4-M4)/(1-M4))</f>
        <v/>
      </c>
      <c r="O4" s="25" t="str">
        <f aca="false">IF(N4="","",IF(N4&gt;=0.7,"Yes","Rewrite"))</f>
        <v/>
      </c>
    </row>
    <row r="5" customFormat="false" ht="15" hidden="false" customHeight="false" outlineLevel="0" collapsed="false">
      <c r="A5" s="23"/>
      <c r="B5" s="23"/>
      <c r="C5" s="23"/>
      <c r="D5" s="23"/>
      <c r="F5" s="25" t="s">
        <v>144</v>
      </c>
      <c r="G5" s="25" t="n">
        <f aca="false">COUNTIFS($B$2:$B$601,F5,$C$2:$C$601,"&lt;&gt;",$D$2:$D$601,"&lt;&gt;")</f>
        <v>0</v>
      </c>
      <c r="H5" s="25" t="n">
        <f aca="false">COUNTIFS($B$2:$B$601,F5,$C$2:$C$601,1,$D$2:$D$601,1)</f>
        <v>0</v>
      </c>
      <c r="I5" s="25" t="n">
        <f aca="false">COUNTIFS($B$2:$B$601,F5,$C$2:$C$601,0,$D$2:$D$601,0)</f>
        <v>0</v>
      </c>
      <c r="J5" s="25" t="n">
        <f aca="false">COUNTIFS($B$2:$B$601,F5,$C$2:$C$601,1,$D$2:$D$601,"&lt;&gt;")</f>
        <v>0</v>
      </c>
      <c r="K5" s="25" t="n">
        <f aca="false">COUNTIFS($B$2:$B$601,F5,$D$2:$D$601,1,$C$2:$C$601,"&lt;&gt;")</f>
        <v>0</v>
      </c>
      <c r="L5" s="26" t="str">
        <f aca="false">IF(G5=0,"",(H5+I5)/G5)</f>
        <v/>
      </c>
      <c r="M5" s="26" t="str">
        <f aca="false">IF(G5=0,"",(J5/G5)*(K5/G5)+(1-J5/G5)*(1-K5/G5))</f>
        <v/>
      </c>
      <c r="N5" s="26" t="str">
        <f aca="false">IF(OR(G5=0,M5=1),"",(L5-M5)/(1-M5))</f>
        <v/>
      </c>
      <c r="O5" s="25" t="str">
        <f aca="false">IF(N5="","",IF(N5&gt;=0.7,"Yes","Rewrite"))</f>
        <v/>
      </c>
    </row>
    <row r="6" customFormat="false" ht="15" hidden="false" customHeight="false" outlineLevel="0" collapsed="false">
      <c r="A6" s="23"/>
      <c r="B6" s="23"/>
      <c r="C6" s="23"/>
      <c r="D6" s="23"/>
      <c r="F6" s="25" t="s">
        <v>145</v>
      </c>
      <c r="G6" s="25" t="n">
        <f aca="false">COUNTIFS($B$2:$B$601,F6,$C$2:$C$601,"&lt;&gt;",$D$2:$D$601,"&lt;&gt;")</f>
        <v>0</v>
      </c>
      <c r="H6" s="25" t="n">
        <f aca="false">COUNTIFS($B$2:$B$601,F6,$C$2:$C$601,1,$D$2:$D$601,1)</f>
        <v>0</v>
      </c>
      <c r="I6" s="25" t="n">
        <f aca="false">COUNTIFS($B$2:$B$601,F6,$C$2:$C$601,0,$D$2:$D$601,0)</f>
        <v>0</v>
      </c>
      <c r="J6" s="25" t="n">
        <f aca="false">COUNTIFS($B$2:$B$601,F6,$C$2:$C$601,1,$D$2:$D$601,"&lt;&gt;")</f>
        <v>0</v>
      </c>
      <c r="K6" s="25" t="n">
        <f aca="false">COUNTIFS($B$2:$B$601,F6,$D$2:$D$601,1,$C$2:$C$601,"&lt;&gt;")</f>
        <v>0</v>
      </c>
      <c r="L6" s="26" t="str">
        <f aca="false">IF(G6=0,"",(H6+I6)/G6)</f>
        <v/>
      </c>
      <c r="M6" s="26" t="str">
        <f aca="false">IF(G6=0,"",(J6/G6)*(K6/G6)+(1-J6/G6)*(1-K6/G6))</f>
        <v/>
      </c>
      <c r="N6" s="26" t="str">
        <f aca="false">IF(OR(G6=0,M6=1),"",(L6-M6)/(1-M6))</f>
        <v/>
      </c>
      <c r="O6" s="25" t="str">
        <f aca="false">IF(N6="","",IF(N6&gt;=0.7,"Yes","Rewrite"))</f>
        <v/>
      </c>
    </row>
    <row r="7" customFormat="false" ht="15" hidden="false" customHeight="false" outlineLevel="0" collapsed="false">
      <c r="A7" s="23"/>
      <c r="B7" s="23"/>
      <c r="C7" s="23"/>
      <c r="D7" s="23"/>
      <c r="F7" s="25" t="s">
        <v>146</v>
      </c>
      <c r="G7" s="25" t="n">
        <f aca="false">COUNTIFS($B$2:$B$601,F7,$C$2:$C$601,"&lt;&gt;",$D$2:$D$601,"&lt;&gt;")</f>
        <v>0</v>
      </c>
      <c r="H7" s="25" t="n">
        <f aca="false">COUNTIFS($B$2:$B$601,F7,$C$2:$C$601,1,$D$2:$D$601,1)</f>
        <v>0</v>
      </c>
      <c r="I7" s="25" t="n">
        <f aca="false">COUNTIFS($B$2:$B$601,F7,$C$2:$C$601,0,$D$2:$D$601,0)</f>
        <v>0</v>
      </c>
      <c r="J7" s="25" t="n">
        <f aca="false">COUNTIFS($B$2:$B$601,F7,$C$2:$C$601,1,$D$2:$D$601,"&lt;&gt;")</f>
        <v>0</v>
      </c>
      <c r="K7" s="25" t="n">
        <f aca="false">COUNTIFS($B$2:$B$601,F7,$D$2:$D$601,1,$C$2:$C$601,"&lt;&gt;")</f>
        <v>0</v>
      </c>
      <c r="L7" s="26" t="str">
        <f aca="false">IF(G7=0,"",(H7+I7)/G7)</f>
        <v/>
      </c>
      <c r="M7" s="26" t="str">
        <f aca="false">IF(G7=0,"",(J7/G7)*(K7/G7)+(1-J7/G7)*(1-K7/G7))</f>
        <v/>
      </c>
      <c r="N7" s="26" t="str">
        <f aca="false">IF(OR(G7=0,M7=1),"",(L7-M7)/(1-M7))</f>
        <v/>
      </c>
      <c r="O7" s="25" t="str">
        <f aca="false">IF(N7="","",IF(N7&gt;=0.7,"Yes","Rewrite"))</f>
        <v/>
      </c>
    </row>
    <row r="8" customFormat="false" ht="15" hidden="false" customHeight="false" outlineLevel="0" collapsed="false">
      <c r="A8" s="23"/>
      <c r="B8" s="23"/>
      <c r="C8" s="23"/>
      <c r="D8" s="23"/>
      <c r="F8" s="25" t="s">
        <v>147</v>
      </c>
      <c r="G8" s="25" t="n">
        <f aca="false">COUNTIFS($B$2:$B$601,F8,$C$2:$C$601,"&lt;&gt;",$D$2:$D$601,"&lt;&gt;")</f>
        <v>0</v>
      </c>
      <c r="H8" s="25" t="n">
        <f aca="false">COUNTIFS($B$2:$B$601,F8,$C$2:$C$601,1,$D$2:$D$601,1)</f>
        <v>0</v>
      </c>
      <c r="I8" s="25" t="n">
        <f aca="false">COUNTIFS($B$2:$B$601,F8,$C$2:$C$601,0,$D$2:$D$601,0)</f>
        <v>0</v>
      </c>
      <c r="J8" s="25" t="n">
        <f aca="false">COUNTIFS($B$2:$B$601,F8,$C$2:$C$601,1,$D$2:$D$601,"&lt;&gt;")</f>
        <v>0</v>
      </c>
      <c r="K8" s="25" t="n">
        <f aca="false">COUNTIFS($B$2:$B$601,F8,$D$2:$D$601,1,$C$2:$C$601,"&lt;&gt;")</f>
        <v>0</v>
      </c>
      <c r="L8" s="26" t="str">
        <f aca="false">IF(G8=0,"",(H8+I8)/G8)</f>
        <v/>
      </c>
      <c r="M8" s="26" t="str">
        <f aca="false">IF(G8=0,"",(J8/G8)*(K8/G8)+(1-J8/G8)*(1-K8/G8))</f>
        <v/>
      </c>
      <c r="N8" s="26" t="str">
        <f aca="false">IF(OR(G8=0,M8=1),"",(L8-M8)/(1-M8))</f>
        <v/>
      </c>
      <c r="O8" s="25" t="str">
        <f aca="false">IF(N8="","",IF(N8&gt;=0.7,"Yes","Rewrite"))</f>
        <v/>
      </c>
    </row>
    <row r="9" customFormat="false" ht="15" hidden="false" customHeight="false" outlineLevel="0" collapsed="false">
      <c r="A9" s="23"/>
      <c r="B9" s="23"/>
      <c r="C9" s="23"/>
      <c r="D9" s="23"/>
      <c r="F9" s="25" t="s">
        <v>148</v>
      </c>
      <c r="G9" s="25" t="n">
        <f aca="false">COUNTIFS($B$2:$B$601,F9,$C$2:$C$601,"&lt;&gt;",$D$2:$D$601,"&lt;&gt;")</f>
        <v>0</v>
      </c>
      <c r="H9" s="25" t="n">
        <f aca="false">COUNTIFS($B$2:$B$601,F9,$C$2:$C$601,1,$D$2:$D$601,1)</f>
        <v>0</v>
      </c>
      <c r="I9" s="25" t="n">
        <f aca="false">COUNTIFS($B$2:$B$601,F9,$C$2:$C$601,0,$D$2:$D$601,0)</f>
        <v>0</v>
      </c>
      <c r="J9" s="25" t="n">
        <f aca="false">COUNTIFS($B$2:$B$601,F9,$C$2:$C$601,1,$D$2:$D$601,"&lt;&gt;")</f>
        <v>0</v>
      </c>
      <c r="K9" s="25" t="n">
        <f aca="false">COUNTIFS($B$2:$B$601,F9,$D$2:$D$601,1,$C$2:$C$601,"&lt;&gt;")</f>
        <v>0</v>
      </c>
      <c r="L9" s="26" t="str">
        <f aca="false">IF(G9=0,"",(H9+I9)/G9)</f>
        <v/>
      </c>
      <c r="M9" s="26" t="str">
        <f aca="false">IF(G9=0,"",(J9/G9)*(K9/G9)+(1-J9/G9)*(1-K9/G9))</f>
        <v/>
      </c>
      <c r="N9" s="26" t="str">
        <f aca="false">IF(OR(G9=0,M9=1),"",(L9-M9)/(1-M9))</f>
        <v/>
      </c>
      <c r="O9" s="25" t="str">
        <f aca="false">IF(N9="","",IF(N9&gt;=0.7,"Yes","Rewrite"))</f>
        <v/>
      </c>
    </row>
    <row r="10" customFormat="false" ht="15" hidden="false" customHeight="false" outlineLevel="0" collapsed="false">
      <c r="A10" s="23"/>
      <c r="B10" s="23"/>
      <c r="C10" s="23"/>
      <c r="D10" s="23"/>
      <c r="F10" s="25" t="s">
        <v>149</v>
      </c>
      <c r="G10" s="25" t="n">
        <f aca="false">COUNTIFS($B$2:$B$601,F10,$C$2:$C$601,"&lt;&gt;",$D$2:$D$601,"&lt;&gt;")</f>
        <v>0</v>
      </c>
      <c r="H10" s="25" t="n">
        <f aca="false">COUNTIFS($B$2:$B$601,F10,$C$2:$C$601,1,$D$2:$D$601,1)</f>
        <v>0</v>
      </c>
      <c r="I10" s="25" t="n">
        <f aca="false">COUNTIFS($B$2:$B$601,F10,$C$2:$C$601,0,$D$2:$D$601,0)</f>
        <v>0</v>
      </c>
      <c r="J10" s="25" t="n">
        <f aca="false">COUNTIFS($B$2:$B$601,F10,$C$2:$C$601,1,$D$2:$D$601,"&lt;&gt;")</f>
        <v>0</v>
      </c>
      <c r="K10" s="25" t="n">
        <f aca="false">COUNTIFS($B$2:$B$601,F10,$D$2:$D$601,1,$C$2:$C$601,"&lt;&gt;")</f>
        <v>0</v>
      </c>
      <c r="L10" s="26" t="str">
        <f aca="false">IF(G10=0,"",(H10+I10)/G10)</f>
        <v/>
      </c>
      <c r="M10" s="26" t="str">
        <f aca="false">IF(G10=0,"",(J10/G10)*(K10/G10)+(1-J10/G10)*(1-K10/G10))</f>
        <v/>
      </c>
      <c r="N10" s="26" t="str">
        <f aca="false">IF(OR(G10=0,M10=1),"",(L10-M10)/(1-M10))</f>
        <v/>
      </c>
      <c r="O10" s="25" t="str">
        <f aca="false">IF(N10="","",IF(N10&gt;=0.7,"Yes","Rewrite"))</f>
        <v/>
      </c>
    </row>
    <row r="11" customFormat="false" ht="15" hidden="false" customHeight="false" outlineLevel="0" collapsed="false">
      <c r="A11" s="23"/>
      <c r="B11" s="23"/>
      <c r="C11" s="23"/>
      <c r="D11" s="23"/>
      <c r="F11" s="25" t="s">
        <v>150</v>
      </c>
      <c r="G11" s="25" t="n">
        <f aca="false">COUNTIFS($B$2:$B$601,F11,$C$2:$C$601,"&lt;&gt;",$D$2:$D$601,"&lt;&gt;")</f>
        <v>0</v>
      </c>
      <c r="H11" s="25" t="n">
        <f aca="false">COUNTIFS($B$2:$B$601,F11,$C$2:$C$601,1,$D$2:$D$601,1)</f>
        <v>0</v>
      </c>
      <c r="I11" s="25" t="n">
        <f aca="false">COUNTIFS($B$2:$B$601,F11,$C$2:$C$601,0,$D$2:$D$601,0)</f>
        <v>0</v>
      </c>
      <c r="J11" s="25" t="n">
        <f aca="false">COUNTIFS($B$2:$B$601,F11,$C$2:$C$601,1,$D$2:$D$601,"&lt;&gt;")</f>
        <v>0</v>
      </c>
      <c r="K11" s="25" t="n">
        <f aca="false">COUNTIFS($B$2:$B$601,F11,$D$2:$D$601,1,$C$2:$C$601,"&lt;&gt;")</f>
        <v>0</v>
      </c>
      <c r="L11" s="26" t="str">
        <f aca="false">IF(G11=0,"",(H11+I11)/G11)</f>
        <v/>
      </c>
      <c r="M11" s="26" t="str">
        <f aca="false">IF(G11=0,"",(J11/G11)*(K11/G11)+(1-J11/G11)*(1-K11/G11))</f>
        <v/>
      </c>
      <c r="N11" s="26" t="str">
        <f aca="false">IF(OR(G11=0,M11=1),"",(L11-M11)/(1-M11))</f>
        <v/>
      </c>
      <c r="O11" s="25" t="str">
        <f aca="false">IF(N11="","",IF(N11&gt;=0.7,"Yes","Rewrite"))</f>
        <v/>
      </c>
    </row>
    <row r="12" customFormat="false" ht="15" hidden="false" customHeight="false" outlineLevel="0" collapsed="false">
      <c r="A12" s="23"/>
      <c r="B12" s="23"/>
      <c r="C12" s="23"/>
      <c r="D12" s="23"/>
      <c r="F12" s="25" t="s">
        <v>151</v>
      </c>
      <c r="G12" s="25" t="n">
        <f aca="false">COUNTIFS($B$2:$B$601,F12,$C$2:$C$601,"&lt;&gt;",$D$2:$D$601,"&lt;&gt;")</f>
        <v>0</v>
      </c>
      <c r="H12" s="25" t="n">
        <f aca="false">COUNTIFS($B$2:$B$601,F12,$C$2:$C$601,1,$D$2:$D$601,1)</f>
        <v>0</v>
      </c>
      <c r="I12" s="25" t="n">
        <f aca="false">COUNTIFS($B$2:$B$601,F12,$C$2:$C$601,0,$D$2:$D$601,0)</f>
        <v>0</v>
      </c>
      <c r="J12" s="25" t="n">
        <f aca="false">COUNTIFS($B$2:$B$601,F12,$C$2:$C$601,1,$D$2:$D$601,"&lt;&gt;")</f>
        <v>0</v>
      </c>
      <c r="K12" s="25" t="n">
        <f aca="false">COUNTIFS($B$2:$B$601,F12,$D$2:$D$601,1,$C$2:$C$601,"&lt;&gt;")</f>
        <v>0</v>
      </c>
      <c r="L12" s="26" t="str">
        <f aca="false">IF(G12=0,"",(H12+I12)/G12)</f>
        <v/>
      </c>
      <c r="M12" s="26" t="str">
        <f aca="false">IF(G12=0,"",(J12/G12)*(K12/G12)+(1-J12/G12)*(1-K12/G12))</f>
        <v/>
      </c>
      <c r="N12" s="26" t="str">
        <f aca="false">IF(OR(G12=0,M12=1),"",(L12-M12)/(1-M12))</f>
        <v/>
      </c>
      <c r="O12" s="25" t="str">
        <f aca="false">IF(N12="","",IF(N12&gt;=0.7,"Yes","Rewrite"))</f>
        <v/>
      </c>
    </row>
    <row r="13" customFormat="false" ht="15" hidden="false" customHeight="false" outlineLevel="0" collapsed="false">
      <c r="A13" s="23"/>
      <c r="B13" s="23"/>
      <c r="C13" s="23"/>
      <c r="D13" s="23"/>
    </row>
    <row r="14" customFormat="false" ht="15" hidden="false" customHeight="false" outlineLevel="0" collapsed="false">
      <c r="A14" s="23"/>
      <c r="B14" s="23"/>
      <c r="C14" s="23"/>
      <c r="D14" s="23"/>
      <c r="F14" s="28" t="s">
        <v>189</v>
      </c>
    </row>
    <row r="15" customFormat="false" ht="15" hidden="false" customHeight="false" outlineLevel="0" collapsed="false">
      <c r="A15" s="23"/>
      <c r="B15" s="23"/>
      <c r="C15" s="23"/>
      <c r="D15" s="23"/>
    </row>
    <row r="16" customFormat="false" ht="15" hidden="false" customHeight="false" outlineLevel="0" collapsed="false">
      <c r="A16" s="23"/>
      <c r="B16" s="23"/>
      <c r="C16" s="23"/>
      <c r="D16" s="23"/>
    </row>
    <row r="17" customFormat="false" ht="15" hidden="false" customHeight="false" outlineLevel="0" collapsed="false">
      <c r="A17" s="23"/>
      <c r="B17" s="23"/>
      <c r="C17" s="23"/>
      <c r="D17" s="23"/>
    </row>
    <row r="18" customFormat="false" ht="15" hidden="false" customHeight="false" outlineLevel="0" collapsed="false">
      <c r="A18" s="23"/>
      <c r="B18" s="23"/>
      <c r="C18" s="23"/>
      <c r="D18" s="23"/>
    </row>
    <row r="19" customFormat="false" ht="15" hidden="false" customHeight="false" outlineLevel="0" collapsed="false">
      <c r="A19" s="23"/>
      <c r="B19" s="23"/>
      <c r="C19" s="23"/>
      <c r="D19" s="23"/>
    </row>
    <row r="20" customFormat="false" ht="15" hidden="false" customHeight="false" outlineLevel="0" collapsed="false">
      <c r="A20" s="23"/>
      <c r="B20" s="23"/>
      <c r="C20" s="23"/>
      <c r="D20" s="23"/>
    </row>
    <row r="21" customFormat="false" ht="15" hidden="false" customHeight="false" outlineLevel="0" collapsed="false">
      <c r="A21" s="23"/>
      <c r="B21" s="23"/>
      <c r="C21" s="23"/>
      <c r="D21" s="23"/>
    </row>
    <row r="22" customFormat="false" ht="15" hidden="false" customHeight="false" outlineLevel="0" collapsed="false">
      <c r="A22" s="23"/>
      <c r="B22" s="23"/>
      <c r="C22" s="23"/>
      <c r="D22" s="23"/>
    </row>
    <row r="23" customFormat="false" ht="15" hidden="false" customHeight="false" outlineLevel="0" collapsed="false">
      <c r="A23" s="23"/>
      <c r="B23" s="23"/>
      <c r="C23" s="23"/>
      <c r="D23" s="23"/>
    </row>
    <row r="24" customFormat="false" ht="15" hidden="false" customHeight="false" outlineLevel="0" collapsed="false">
      <c r="A24" s="23"/>
      <c r="B24" s="23"/>
      <c r="C24" s="23"/>
      <c r="D24" s="23"/>
    </row>
    <row r="25" customFormat="false" ht="15" hidden="false" customHeight="false" outlineLevel="0" collapsed="false">
      <c r="A25" s="23"/>
      <c r="B25" s="23"/>
      <c r="C25" s="23"/>
      <c r="D25" s="23"/>
    </row>
    <row r="26" customFormat="false" ht="15" hidden="false" customHeight="false" outlineLevel="0" collapsed="false">
      <c r="A26" s="23"/>
      <c r="B26" s="23"/>
      <c r="C26" s="23"/>
      <c r="D26" s="23"/>
    </row>
    <row r="27" customFormat="false" ht="15" hidden="false" customHeight="false" outlineLevel="0" collapsed="false">
      <c r="A27" s="23"/>
      <c r="B27" s="23"/>
      <c r="C27" s="23"/>
      <c r="D27" s="23"/>
    </row>
    <row r="28" customFormat="false" ht="15" hidden="false" customHeight="false" outlineLevel="0" collapsed="false">
      <c r="A28" s="23"/>
      <c r="B28" s="23"/>
      <c r="C28" s="23"/>
      <c r="D28" s="23"/>
    </row>
    <row r="29" customFormat="false" ht="15" hidden="false" customHeight="false" outlineLevel="0" collapsed="false">
      <c r="A29" s="23"/>
      <c r="B29" s="23"/>
      <c r="C29" s="23"/>
      <c r="D29" s="23"/>
    </row>
    <row r="30" customFormat="false" ht="15" hidden="false" customHeight="false" outlineLevel="0" collapsed="false">
      <c r="A30" s="23"/>
      <c r="B30" s="23"/>
      <c r="C30" s="23"/>
      <c r="D30" s="23"/>
    </row>
    <row r="31" customFormat="false" ht="15" hidden="false" customHeight="false" outlineLevel="0" collapsed="false">
      <c r="A31" s="23"/>
      <c r="B31" s="23"/>
      <c r="C31" s="23"/>
      <c r="D31" s="23"/>
    </row>
    <row r="32" customFormat="false" ht="15" hidden="false" customHeight="false" outlineLevel="0" collapsed="false">
      <c r="A32" s="23"/>
      <c r="B32" s="23"/>
      <c r="C32" s="23"/>
      <c r="D32" s="23"/>
    </row>
    <row r="33" customFormat="false" ht="15" hidden="false" customHeight="false" outlineLevel="0" collapsed="false">
      <c r="A33" s="23"/>
      <c r="B33" s="23"/>
      <c r="C33" s="23"/>
      <c r="D33" s="23"/>
    </row>
    <row r="34" customFormat="false" ht="15" hidden="false" customHeight="false" outlineLevel="0" collapsed="false">
      <c r="A34" s="23"/>
      <c r="B34" s="23"/>
      <c r="C34" s="23"/>
      <c r="D34" s="23"/>
    </row>
    <row r="35" customFormat="false" ht="15" hidden="false" customHeight="false" outlineLevel="0" collapsed="false">
      <c r="A35" s="23"/>
      <c r="B35" s="23"/>
      <c r="C35" s="23"/>
      <c r="D35" s="23"/>
    </row>
    <row r="36" customFormat="false" ht="15" hidden="false" customHeight="false" outlineLevel="0" collapsed="false">
      <c r="A36" s="23"/>
      <c r="B36" s="23"/>
      <c r="C36" s="23"/>
      <c r="D36" s="23"/>
    </row>
    <row r="37" customFormat="false" ht="15" hidden="false" customHeight="false" outlineLevel="0" collapsed="false">
      <c r="A37" s="23"/>
      <c r="B37" s="23"/>
      <c r="C37" s="23"/>
      <c r="D37" s="23"/>
    </row>
    <row r="38" customFormat="false" ht="15" hidden="false" customHeight="false" outlineLevel="0" collapsed="false">
      <c r="A38" s="23"/>
      <c r="B38" s="23"/>
      <c r="C38" s="23"/>
      <c r="D38" s="23"/>
    </row>
    <row r="39" customFormat="false" ht="15" hidden="false" customHeight="false" outlineLevel="0" collapsed="false">
      <c r="A39" s="23"/>
      <c r="B39" s="23"/>
      <c r="C39" s="23"/>
      <c r="D39" s="23"/>
    </row>
    <row r="40" customFormat="false" ht="15" hidden="false" customHeight="false" outlineLevel="0" collapsed="false">
      <c r="A40" s="23"/>
      <c r="B40" s="23"/>
      <c r="C40" s="23"/>
      <c r="D40" s="23"/>
    </row>
    <row r="41" customFormat="false" ht="15" hidden="false" customHeight="false" outlineLevel="0" collapsed="false">
      <c r="A41" s="23"/>
      <c r="B41" s="23"/>
      <c r="C41" s="23"/>
      <c r="D41" s="23"/>
    </row>
    <row r="42" customFormat="false" ht="15" hidden="false" customHeight="false" outlineLevel="0" collapsed="false">
      <c r="A42" s="23"/>
      <c r="B42" s="23"/>
      <c r="C42" s="23"/>
      <c r="D42" s="23"/>
    </row>
    <row r="43" customFormat="false" ht="15" hidden="false" customHeight="false" outlineLevel="0" collapsed="false">
      <c r="A43" s="23"/>
      <c r="B43" s="23"/>
      <c r="C43" s="23"/>
      <c r="D43" s="23"/>
    </row>
    <row r="44" customFormat="false" ht="15" hidden="false" customHeight="false" outlineLevel="0" collapsed="false">
      <c r="A44" s="23"/>
      <c r="B44" s="23"/>
      <c r="C44" s="23"/>
      <c r="D44" s="23"/>
    </row>
    <row r="45" customFormat="false" ht="15" hidden="false" customHeight="false" outlineLevel="0" collapsed="false">
      <c r="A45" s="23"/>
      <c r="B45" s="23"/>
      <c r="C45" s="23"/>
      <c r="D45" s="23"/>
    </row>
    <row r="46" customFormat="false" ht="15" hidden="false" customHeight="false" outlineLevel="0" collapsed="false">
      <c r="A46" s="23"/>
      <c r="B46" s="23"/>
      <c r="C46" s="23"/>
      <c r="D46" s="23"/>
    </row>
    <row r="47" customFormat="false" ht="15" hidden="false" customHeight="false" outlineLevel="0" collapsed="false">
      <c r="A47" s="23"/>
      <c r="B47" s="23"/>
      <c r="C47" s="23"/>
      <c r="D47" s="23"/>
    </row>
    <row r="48" customFormat="false" ht="15" hidden="false" customHeight="false" outlineLevel="0" collapsed="false">
      <c r="A48" s="23"/>
      <c r="B48" s="23"/>
      <c r="C48" s="23"/>
      <c r="D48" s="23"/>
    </row>
    <row r="49" customFormat="false" ht="15" hidden="false" customHeight="false" outlineLevel="0" collapsed="false">
      <c r="A49" s="23"/>
      <c r="B49" s="23"/>
      <c r="C49" s="23"/>
      <c r="D49" s="23"/>
    </row>
    <row r="50" customFormat="false" ht="15" hidden="false" customHeight="false" outlineLevel="0" collapsed="false">
      <c r="A50" s="23"/>
      <c r="B50" s="23"/>
      <c r="C50" s="23"/>
      <c r="D50" s="23"/>
    </row>
    <row r="51" customFormat="false" ht="15" hidden="false" customHeight="false" outlineLevel="0" collapsed="false">
      <c r="A51" s="23"/>
      <c r="B51" s="23"/>
      <c r="C51" s="23"/>
      <c r="D51" s="23"/>
    </row>
    <row r="52" customFormat="false" ht="15" hidden="false" customHeight="false" outlineLevel="0" collapsed="false">
      <c r="A52" s="23"/>
      <c r="B52" s="23"/>
      <c r="C52" s="23"/>
      <c r="D52" s="23"/>
    </row>
    <row r="53" customFormat="false" ht="15" hidden="false" customHeight="false" outlineLevel="0" collapsed="false">
      <c r="A53" s="23"/>
      <c r="B53" s="23"/>
      <c r="C53" s="23"/>
      <c r="D53" s="23"/>
    </row>
    <row r="54" customFormat="false" ht="15" hidden="false" customHeight="false" outlineLevel="0" collapsed="false">
      <c r="A54" s="23"/>
      <c r="B54" s="23"/>
      <c r="C54" s="23"/>
      <c r="D54" s="23"/>
    </row>
    <row r="55" customFormat="false" ht="15" hidden="false" customHeight="false" outlineLevel="0" collapsed="false">
      <c r="A55" s="23"/>
      <c r="B55" s="23"/>
      <c r="C55" s="23"/>
      <c r="D55" s="23"/>
    </row>
    <row r="56" customFormat="false" ht="15" hidden="false" customHeight="false" outlineLevel="0" collapsed="false">
      <c r="A56" s="23"/>
      <c r="B56" s="23"/>
      <c r="C56" s="23"/>
      <c r="D56" s="23"/>
    </row>
    <row r="57" customFormat="false" ht="15" hidden="false" customHeight="false" outlineLevel="0" collapsed="false">
      <c r="A57" s="23"/>
      <c r="B57" s="23"/>
      <c r="C57" s="23"/>
      <c r="D57" s="23"/>
    </row>
    <row r="58" customFormat="false" ht="15" hidden="false" customHeight="false" outlineLevel="0" collapsed="false">
      <c r="A58" s="23"/>
      <c r="B58" s="23"/>
      <c r="C58" s="23"/>
      <c r="D58" s="23"/>
    </row>
    <row r="59" customFormat="false" ht="15" hidden="false" customHeight="false" outlineLevel="0" collapsed="false">
      <c r="A59" s="23"/>
      <c r="B59" s="23"/>
      <c r="C59" s="23"/>
      <c r="D59" s="23"/>
    </row>
    <row r="60" customFormat="false" ht="15" hidden="false" customHeight="false" outlineLevel="0" collapsed="false">
      <c r="A60" s="23"/>
      <c r="B60" s="23"/>
      <c r="C60" s="23"/>
      <c r="D60" s="23"/>
    </row>
    <row r="61" customFormat="false" ht="15" hidden="false" customHeight="false" outlineLevel="0" collapsed="false">
      <c r="A61" s="23"/>
      <c r="B61" s="23"/>
      <c r="C61" s="23"/>
      <c r="D61" s="23"/>
    </row>
    <row r="62" customFormat="false" ht="15" hidden="false" customHeight="false" outlineLevel="0" collapsed="false">
      <c r="A62" s="23"/>
      <c r="B62" s="23"/>
      <c r="C62" s="23"/>
      <c r="D62" s="23"/>
    </row>
    <row r="63" customFormat="false" ht="15" hidden="false" customHeight="false" outlineLevel="0" collapsed="false">
      <c r="A63" s="23"/>
      <c r="B63" s="23"/>
      <c r="C63" s="23"/>
      <c r="D63" s="23"/>
    </row>
    <row r="64" customFormat="false" ht="15" hidden="false" customHeight="false" outlineLevel="0" collapsed="false">
      <c r="A64" s="23"/>
      <c r="B64" s="23"/>
      <c r="C64" s="23"/>
      <c r="D64" s="23"/>
    </row>
    <row r="65" customFormat="false" ht="15" hidden="false" customHeight="false" outlineLevel="0" collapsed="false">
      <c r="A65" s="23"/>
      <c r="B65" s="23"/>
      <c r="C65" s="23"/>
      <c r="D65" s="23"/>
    </row>
    <row r="66" customFormat="false" ht="15" hidden="false" customHeight="false" outlineLevel="0" collapsed="false">
      <c r="A66" s="23"/>
      <c r="B66" s="23"/>
      <c r="C66" s="23"/>
      <c r="D66" s="23"/>
    </row>
    <row r="67" customFormat="false" ht="15" hidden="false" customHeight="false" outlineLevel="0" collapsed="false">
      <c r="A67" s="23"/>
      <c r="B67" s="23"/>
      <c r="C67" s="23"/>
      <c r="D67" s="23"/>
    </row>
    <row r="68" customFormat="false" ht="15" hidden="false" customHeight="false" outlineLevel="0" collapsed="false">
      <c r="A68" s="23"/>
      <c r="B68" s="23"/>
      <c r="C68" s="23"/>
      <c r="D68" s="23"/>
    </row>
    <row r="69" customFormat="false" ht="15" hidden="false" customHeight="false" outlineLevel="0" collapsed="false">
      <c r="A69" s="23"/>
      <c r="B69" s="23"/>
      <c r="C69" s="23"/>
      <c r="D69" s="23"/>
    </row>
    <row r="70" customFormat="false" ht="15" hidden="false" customHeight="false" outlineLevel="0" collapsed="false">
      <c r="A70" s="23"/>
      <c r="B70" s="23"/>
      <c r="C70" s="23"/>
      <c r="D70" s="23"/>
    </row>
    <row r="71" customFormat="false" ht="15" hidden="false" customHeight="false" outlineLevel="0" collapsed="false">
      <c r="A71" s="23"/>
      <c r="B71" s="23"/>
      <c r="C71" s="23"/>
      <c r="D71" s="23"/>
    </row>
    <row r="72" customFormat="false" ht="15" hidden="false" customHeight="false" outlineLevel="0" collapsed="false">
      <c r="A72" s="23"/>
      <c r="B72" s="23"/>
      <c r="C72" s="23"/>
      <c r="D72" s="23"/>
    </row>
    <row r="73" customFormat="false" ht="15" hidden="false" customHeight="false" outlineLevel="0" collapsed="false">
      <c r="A73" s="23"/>
      <c r="B73" s="23"/>
      <c r="C73" s="23"/>
      <c r="D73" s="23"/>
    </row>
    <row r="74" customFormat="false" ht="15" hidden="false" customHeight="false" outlineLevel="0" collapsed="false">
      <c r="A74" s="23"/>
      <c r="B74" s="23"/>
      <c r="C74" s="23"/>
      <c r="D74" s="23"/>
    </row>
    <row r="75" customFormat="false" ht="15" hidden="false" customHeight="false" outlineLevel="0" collapsed="false">
      <c r="A75" s="23"/>
      <c r="B75" s="23"/>
      <c r="C75" s="23"/>
      <c r="D75" s="23"/>
    </row>
    <row r="76" customFormat="false" ht="15" hidden="false" customHeight="false" outlineLevel="0" collapsed="false">
      <c r="A76" s="23"/>
      <c r="B76" s="23"/>
      <c r="C76" s="23"/>
      <c r="D76" s="23"/>
    </row>
    <row r="77" customFormat="false" ht="15" hidden="false" customHeight="false" outlineLevel="0" collapsed="false">
      <c r="A77" s="23"/>
      <c r="B77" s="23"/>
      <c r="C77" s="23"/>
      <c r="D77" s="23"/>
    </row>
    <row r="78" customFormat="false" ht="15" hidden="false" customHeight="false" outlineLevel="0" collapsed="false">
      <c r="A78" s="23"/>
      <c r="B78" s="23"/>
      <c r="C78" s="23"/>
      <c r="D78" s="23"/>
    </row>
    <row r="79" customFormat="false" ht="15" hidden="false" customHeight="false" outlineLevel="0" collapsed="false">
      <c r="A79" s="23"/>
      <c r="B79" s="23"/>
      <c r="C79" s="23"/>
      <c r="D79" s="23"/>
    </row>
    <row r="80" customFormat="false" ht="15" hidden="false" customHeight="false" outlineLevel="0" collapsed="false">
      <c r="A80" s="23"/>
      <c r="B80" s="23"/>
      <c r="C80" s="23"/>
      <c r="D80" s="23"/>
    </row>
    <row r="81" customFormat="false" ht="15" hidden="false" customHeight="false" outlineLevel="0" collapsed="false">
      <c r="A81" s="23"/>
      <c r="B81" s="23"/>
      <c r="C81" s="23"/>
      <c r="D81" s="23"/>
    </row>
    <row r="82" customFormat="false" ht="15" hidden="false" customHeight="false" outlineLevel="0" collapsed="false">
      <c r="A82" s="23"/>
      <c r="B82" s="23"/>
      <c r="C82" s="23"/>
      <c r="D82" s="23"/>
    </row>
    <row r="83" customFormat="false" ht="15" hidden="false" customHeight="false" outlineLevel="0" collapsed="false">
      <c r="A83" s="23"/>
      <c r="B83" s="23"/>
      <c r="C83" s="23"/>
      <c r="D83" s="23"/>
    </row>
    <row r="84" customFormat="false" ht="15" hidden="false" customHeight="false" outlineLevel="0" collapsed="false">
      <c r="A84" s="23"/>
      <c r="B84" s="23"/>
      <c r="C84" s="23"/>
      <c r="D84" s="23"/>
    </row>
    <row r="85" customFormat="false" ht="15" hidden="false" customHeight="false" outlineLevel="0" collapsed="false">
      <c r="A85" s="23"/>
      <c r="B85" s="23"/>
      <c r="C85" s="23"/>
      <c r="D85" s="23"/>
    </row>
    <row r="86" customFormat="false" ht="15" hidden="false" customHeight="false" outlineLevel="0" collapsed="false">
      <c r="A86" s="23"/>
      <c r="B86" s="23"/>
      <c r="C86" s="23"/>
      <c r="D86" s="23"/>
    </row>
    <row r="87" customFormat="false" ht="15" hidden="false" customHeight="false" outlineLevel="0" collapsed="false">
      <c r="A87" s="23"/>
      <c r="B87" s="23"/>
      <c r="C87" s="23"/>
      <c r="D87" s="23"/>
    </row>
    <row r="88" customFormat="false" ht="15" hidden="false" customHeight="false" outlineLevel="0" collapsed="false">
      <c r="A88" s="23"/>
      <c r="B88" s="23"/>
      <c r="C88" s="23"/>
      <c r="D88" s="23"/>
    </row>
    <row r="89" customFormat="false" ht="15" hidden="false" customHeight="false" outlineLevel="0" collapsed="false">
      <c r="A89" s="23"/>
      <c r="B89" s="23"/>
      <c r="C89" s="23"/>
      <c r="D89" s="23"/>
    </row>
    <row r="90" customFormat="false" ht="15" hidden="false" customHeight="false" outlineLevel="0" collapsed="false">
      <c r="A90" s="23"/>
      <c r="B90" s="23"/>
      <c r="C90" s="23"/>
      <c r="D90" s="23"/>
    </row>
    <row r="91" customFormat="false" ht="15" hidden="false" customHeight="false" outlineLevel="0" collapsed="false">
      <c r="A91" s="23"/>
      <c r="B91" s="23"/>
      <c r="C91" s="23"/>
      <c r="D91" s="23"/>
    </row>
    <row r="92" customFormat="false" ht="15" hidden="false" customHeight="false" outlineLevel="0" collapsed="false">
      <c r="A92" s="23"/>
      <c r="B92" s="23"/>
      <c r="C92" s="23"/>
      <c r="D92" s="23"/>
    </row>
    <row r="93" customFormat="false" ht="15" hidden="false" customHeight="false" outlineLevel="0" collapsed="false">
      <c r="A93" s="23"/>
      <c r="B93" s="23"/>
      <c r="C93" s="23"/>
      <c r="D93" s="23"/>
    </row>
    <row r="94" customFormat="false" ht="15" hidden="false" customHeight="false" outlineLevel="0" collapsed="false">
      <c r="A94" s="23"/>
      <c r="B94" s="23"/>
      <c r="C94" s="23"/>
      <c r="D94" s="23"/>
    </row>
    <row r="95" customFormat="false" ht="15" hidden="false" customHeight="false" outlineLevel="0" collapsed="false">
      <c r="A95" s="23"/>
      <c r="B95" s="23"/>
      <c r="C95" s="23"/>
      <c r="D95" s="23"/>
    </row>
    <row r="96" customFormat="false" ht="15" hidden="false" customHeight="false" outlineLevel="0" collapsed="false">
      <c r="A96" s="23"/>
      <c r="B96" s="23"/>
      <c r="C96" s="23"/>
      <c r="D96" s="23"/>
    </row>
    <row r="97" customFormat="false" ht="15" hidden="false" customHeight="false" outlineLevel="0" collapsed="false">
      <c r="A97" s="23"/>
      <c r="B97" s="23"/>
      <c r="C97" s="23"/>
      <c r="D97" s="23"/>
    </row>
    <row r="98" customFormat="false" ht="15" hidden="false" customHeight="false" outlineLevel="0" collapsed="false">
      <c r="A98" s="23"/>
      <c r="B98" s="23"/>
      <c r="C98" s="23"/>
      <c r="D98" s="23"/>
    </row>
    <row r="99" customFormat="false" ht="15" hidden="false" customHeight="false" outlineLevel="0" collapsed="false">
      <c r="A99" s="23"/>
      <c r="B99" s="23"/>
      <c r="C99" s="23"/>
      <c r="D99" s="23"/>
    </row>
    <row r="100" customFormat="false" ht="15" hidden="false" customHeight="false" outlineLevel="0" collapsed="false">
      <c r="A100" s="23"/>
      <c r="B100" s="23"/>
      <c r="C100" s="23"/>
      <c r="D100" s="23"/>
    </row>
    <row r="101" customFormat="false" ht="15" hidden="false" customHeight="false" outlineLevel="0" collapsed="false">
      <c r="A101" s="23"/>
      <c r="B101" s="23"/>
      <c r="C101" s="23"/>
      <c r="D101" s="23"/>
    </row>
    <row r="102" customFormat="false" ht="15" hidden="false" customHeight="false" outlineLevel="0" collapsed="false">
      <c r="A102" s="23"/>
      <c r="B102" s="23"/>
      <c r="C102" s="23"/>
      <c r="D102" s="23"/>
    </row>
    <row r="103" customFormat="false" ht="15" hidden="false" customHeight="false" outlineLevel="0" collapsed="false">
      <c r="A103" s="23"/>
      <c r="B103" s="23"/>
      <c r="C103" s="23"/>
      <c r="D103" s="23"/>
    </row>
    <row r="104" customFormat="false" ht="15" hidden="false" customHeight="false" outlineLevel="0" collapsed="false">
      <c r="A104" s="23"/>
      <c r="B104" s="23"/>
      <c r="C104" s="23"/>
      <c r="D104" s="23"/>
    </row>
    <row r="105" customFormat="false" ht="15" hidden="false" customHeight="false" outlineLevel="0" collapsed="false">
      <c r="A105" s="23"/>
      <c r="B105" s="23"/>
      <c r="C105" s="23"/>
      <c r="D105" s="23"/>
    </row>
    <row r="106" customFormat="false" ht="15" hidden="false" customHeight="false" outlineLevel="0" collapsed="false">
      <c r="A106" s="23"/>
      <c r="B106" s="23"/>
      <c r="C106" s="23"/>
      <c r="D106" s="23"/>
    </row>
    <row r="107" customFormat="false" ht="15" hidden="false" customHeight="false" outlineLevel="0" collapsed="false">
      <c r="A107" s="23"/>
      <c r="B107" s="23"/>
      <c r="C107" s="23"/>
      <c r="D107" s="23"/>
    </row>
    <row r="108" customFormat="false" ht="15" hidden="false" customHeight="false" outlineLevel="0" collapsed="false">
      <c r="A108" s="23"/>
      <c r="B108" s="23"/>
      <c r="C108" s="23"/>
      <c r="D108" s="23"/>
    </row>
    <row r="109" customFormat="false" ht="15" hidden="false" customHeight="false" outlineLevel="0" collapsed="false">
      <c r="A109" s="23"/>
      <c r="B109" s="23"/>
      <c r="C109" s="23"/>
      <c r="D109" s="23"/>
    </row>
    <row r="110" customFormat="false" ht="15" hidden="false" customHeight="false" outlineLevel="0" collapsed="false">
      <c r="A110" s="23"/>
      <c r="B110" s="23"/>
      <c r="C110" s="23"/>
      <c r="D110" s="23"/>
    </row>
    <row r="111" customFormat="false" ht="15" hidden="false" customHeight="false" outlineLevel="0" collapsed="false">
      <c r="A111" s="23"/>
      <c r="B111" s="23"/>
      <c r="C111" s="23"/>
      <c r="D111" s="23"/>
    </row>
    <row r="112" customFormat="false" ht="15" hidden="false" customHeight="false" outlineLevel="0" collapsed="false">
      <c r="A112" s="23"/>
      <c r="B112" s="23"/>
      <c r="C112" s="23"/>
      <c r="D112" s="23"/>
    </row>
    <row r="113" customFormat="false" ht="15" hidden="false" customHeight="false" outlineLevel="0" collapsed="false">
      <c r="A113" s="23"/>
      <c r="B113" s="23"/>
      <c r="C113" s="23"/>
      <c r="D113" s="23"/>
    </row>
    <row r="114" customFormat="false" ht="15" hidden="false" customHeight="false" outlineLevel="0" collapsed="false">
      <c r="A114" s="23"/>
      <c r="B114" s="23"/>
      <c r="C114" s="23"/>
      <c r="D114" s="23"/>
    </row>
    <row r="115" customFormat="false" ht="15" hidden="false" customHeight="false" outlineLevel="0" collapsed="false">
      <c r="A115" s="23"/>
      <c r="B115" s="23"/>
      <c r="C115" s="23"/>
      <c r="D115" s="23"/>
    </row>
    <row r="116" customFormat="false" ht="15" hidden="false" customHeight="false" outlineLevel="0" collapsed="false">
      <c r="A116" s="23"/>
      <c r="B116" s="23"/>
      <c r="C116" s="23"/>
      <c r="D116" s="23"/>
    </row>
    <row r="117" customFormat="false" ht="15" hidden="false" customHeight="false" outlineLevel="0" collapsed="false">
      <c r="A117" s="23"/>
      <c r="B117" s="23"/>
      <c r="C117" s="23"/>
      <c r="D117" s="23"/>
    </row>
    <row r="118" customFormat="false" ht="15" hidden="false" customHeight="false" outlineLevel="0" collapsed="false">
      <c r="A118" s="23"/>
      <c r="B118" s="23"/>
      <c r="C118" s="23"/>
      <c r="D118" s="23"/>
    </row>
    <row r="119" customFormat="false" ht="15" hidden="false" customHeight="false" outlineLevel="0" collapsed="false">
      <c r="A119" s="23"/>
      <c r="B119" s="23"/>
      <c r="C119" s="23"/>
      <c r="D119" s="23"/>
    </row>
    <row r="120" customFormat="false" ht="15" hidden="false" customHeight="false" outlineLevel="0" collapsed="false">
      <c r="A120" s="23"/>
      <c r="B120" s="23"/>
      <c r="C120" s="23"/>
      <c r="D120" s="23"/>
    </row>
    <row r="121" customFormat="false" ht="15" hidden="false" customHeight="false" outlineLevel="0" collapsed="false">
      <c r="A121" s="23"/>
      <c r="B121" s="23"/>
      <c r="C121" s="23"/>
      <c r="D121" s="23"/>
    </row>
    <row r="122" customFormat="false" ht="15" hidden="false" customHeight="false" outlineLevel="0" collapsed="false">
      <c r="A122" s="23"/>
      <c r="B122" s="23"/>
      <c r="C122" s="23"/>
      <c r="D122" s="23"/>
    </row>
    <row r="123" customFormat="false" ht="15" hidden="false" customHeight="false" outlineLevel="0" collapsed="false">
      <c r="A123" s="23"/>
      <c r="B123" s="23"/>
      <c r="C123" s="23"/>
      <c r="D123" s="23"/>
    </row>
    <row r="124" customFormat="false" ht="15" hidden="false" customHeight="false" outlineLevel="0" collapsed="false">
      <c r="A124" s="23"/>
      <c r="B124" s="23"/>
      <c r="C124" s="23"/>
      <c r="D124" s="23"/>
    </row>
    <row r="125" customFormat="false" ht="15" hidden="false" customHeight="false" outlineLevel="0" collapsed="false">
      <c r="A125" s="23"/>
      <c r="B125" s="23"/>
      <c r="C125" s="23"/>
      <c r="D125" s="23"/>
    </row>
    <row r="126" customFormat="false" ht="15" hidden="false" customHeight="false" outlineLevel="0" collapsed="false">
      <c r="A126" s="23"/>
      <c r="B126" s="23"/>
      <c r="C126" s="23"/>
      <c r="D126" s="23"/>
    </row>
    <row r="127" customFormat="false" ht="15" hidden="false" customHeight="false" outlineLevel="0" collapsed="false">
      <c r="A127" s="23"/>
      <c r="B127" s="23"/>
      <c r="C127" s="23"/>
      <c r="D127" s="23"/>
    </row>
    <row r="128" customFormat="false" ht="15" hidden="false" customHeight="false" outlineLevel="0" collapsed="false">
      <c r="A128" s="23"/>
      <c r="B128" s="23"/>
      <c r="C128" s="23"/>
      <c r="D128" s="23"/>
    </row>
    <row r="129" customFormat="false" ht="15" hidden="false" customHeight="false" outlineLevel="0" collapsed="false">
      <c r="A129" s="23"/>
      <c r="B129" s="23"/>
      <c r="C129" s="23"/>
      <c r="D129" s="23"/>
    </row>
    <row r="130" customFormat="false" ht="15" hidden="false" customHeight="false" outlineLevel="0" collapsed="false">
      <c r="A130" s="23"/>
      <c r="B130" s="23"/>
      <c r="C130" s="23"/>
      <c r="D130" s="23"/>
    </row>
    <row r="131" customFormat="false" ht="15" hidden="false" customHeight="false" outlineLevel="0" collapsed="false">
      <c r="A131" s="23"/>
      <c r="B131" s="23"/>
      <c r="C131" s="23"/>
      <c r="D131" s="23"/>
    </row>
    <row r="132" customFormat="false" ht="15" hidden="false" customHeight="false" outlineLevel="0" collapsed="false">
      <c r="A132" s="23"/>
      <c r="B132" s="23"/>
      <c r="C132" s="23"/>
      <c r="D132" s="23"/>
    </row>
    <row r="133" customFormat="false" ht="15" hidden="false" customHeight="false" outlineLevel="0" collapsed="false">
      <c r="A133" s="23"/>
      <c r="B133" s="23"/>
      <c r="C133" s="23"/>
      <c r="D133" s="23"/>
    </row>
    <row r="134" customFormat="false" ht="15" hidden="false" customHeight="false" outlineLevel="0" collapsed="false">
      <c r="A134" s="23"/>
      <c r="B134" s="23"/>
      <c r="C134" s="23"/>
      <c r="D134" s="23"/>
    </row>
    <row r="135" customFormat="false" ht="15" hidden="false" customHeight="false" outlineLevel="0" collapsed="false">
      <c r="A135" s="23"/>
      <c r="B135" s="23"/>
      <c r="C135" s="23"/>
      <c r="D135" s="23"/>
    </row>
    <row r="136" customFormat="false" ht="15" hidden="false" customHeight="false" outlineLevel="0" collapsed="false">
      <c r="A136" s="23"/>
      <c r="B136" s="23"/>
      <c r="C136" s="23"/>
      <c r="D136" s="23"/>
    </row>
    <row r="137" customFormat="false" ht="15" hidden="false" customHeight="false" outlineLevel="0" collapsed="false">
      <c r="A137" s="23"/>
      <c r="B137" s="23"/>
      <c r="C137" s="23"/>
      <c r="D137" s="23"/>
    </row>
    <row r="138" customFormat="false" ht="15" hidden="false" customHeight="false" outlineLevel="0" collapsed="false">
      <c r="A138" s="23"/>
      <c r="B138" s="23"/>
      <c r="C138" s="23"/>
      <c r="D138" s="23"/>
    </row>
    <row r="139" customFormat="false" ht="15" hidden="false" customHeight="false" outlineLevel="0" collapsed="false">
      <c r="A139" s="23"/>
      <c r="B139" s="23"/>
      <c r="C139" s="23"/>
      <c r="D139" s="23"/>
    </row>
    <row r="140" customFormat="false" ht="15" hidden="false" customHeight="false" outlineLevel="0" collapsed="false">
      <c r="A140" s="23"/>
      <c r="B140" s="23"/>
      <c r="C140" s="23"/>
      <c r="D140" s="23"/>
    </row>
    <row r="141" customFormat="false" ht="15" hidden="false" customHeight="false" outlineLevel="0" collapsed="false">
      <c r="A141" s="23"/>
      <c r="B141" s="23"/>
      <c r="C141" s="23"/>
      <c r="D141" s="23"/>
    </row>
    <row r="142" customFormat="false" ht="15" hidden="false" customHeight="false" outlineLevel="0" collapsed="false">
      <c r="A142" s="23"/>
      <c r="B142" s="23"/>
      <c r="C142" s="23"/>
      <c r="D142" s="23"/>
    </row>
    <row r="143" customFormat="false" ht="15" hidden="false" customHeight="false" outlineLevel="0" collapsed="false">
      <c r="A143" s="23"/>
      <c r="B143" s="23"/>
      <c r="C143" s="23"/>
      <c r="D143" s="23"/>
    </row>
    <row r="144" customFormat="false" ht="15" hidden="false" customHeight="false" outlineLevel="0" collapsed="false">
      <c r="A144" s="23"/>
      <c r="B144" s="23"/>
      <c r="C144" s="23"/>
      <c r="D144" s="23"/>
    </row>
    <row r="145" customFormat="false" ht="15" hidden="false" customHeight="false" outlineLevel="0" collapsed="false">
      <c r="A145" s="23"/>
      <c r="B145" s="23"/>
      <c r="C145" s="23"/>
      <c r="D145" s="23"/>
    </row>
    <row r="146" customFormat="false" ht="15" hidden="false" customHeight="false" outlineLevel="0" collapsed="false">
      <c r="A146" s="23"/>
      <c r="B146" s="23"/>
      <c r="C146" s="23"/>
      <c r="D146" s="23"/>
    </row>
    <row r="147" customFormat="false" ht="15" hidden="false" customHeight="false" outlineLevel="0" collapsed="false">
      <c r="A147" s="23"/>
      <c r="B147" s="23"/>
      <c r="C147" s="23"/>
      <c r="D147" s="23"/>
    </row>
    <row r="148" customFormat="false" ht="15" hidden="false" customHeight="false" outlineLevel="0" collapsed="false">
      <c r="A148" s="23"/>
      <c r="B148" s="23"/>
      <c r="C148" s="23"/>
      <c r="D148" s="23"/>
    </row>
    <row r="149" customFormat="false" ht="15" hidden="false" customHeight="false" outlineLevel="0" collapsed="false">
      <c r="A149" s="23"/>
      <c r="B149" s="23"/>
      <c r="C149" s="23"/>
      <c r="D149" s="23"/>
    </row>
    <row r="150" customFormat="false" ht="15" hidden="false" customHeight="false" outlineLevel="0" collapsed="false">
      <c r="A150" s="23"/>
      <c r="B150" s="23"/>
      <c r="C150" s="23"/>
      <c r="D150" s="23"/>
    </row>
    <row r="151" customFormat="false" ht="15" hidden="false" customHeight="false" outlineLevel="0" collapsed="false">
      <c r="A151" s="23"/>
      <c r="B151" s="23"/>
      <c r="C151" s="23"/>
      <c r="D151" s="23"/>
    </row>
    <row r="152" customFormat="false" ht="15" hidden="false" customHeight="false" outlineLevel="0" collapsed="false">
      <c r="A152" s="23"/>
      <c r="B152" s="23"/>
      <c r="C152" s="23"/>
      <c r="D152" s="23"/>
    </row>
    <row r="153" customFormat="false" ht="15" hidden="false" customHeight="false" outlineLevel="0" collapsed="false">
      <c r="A153" s="23"/>
      <c r="B153" s="23"/>
      <c r="C153" s="23"/>
      <c r="D153" s="23"/>
    </row>
    <row r="154" customFormat="false" ht="15" hidden="false" customHeight="false" outlineLevel="0" collapsed="false">
      <c r="A154" s="23"/>
      <c r="B154" s="23"/>
      <c r="C154" s="23"/>
      <c r="D154" s="23"/>
    </row>
    <row r="155" customFormat="false" ht="15" hidden="false" customHeight="false" outlineLevel="0" collapsed="false">
      <c r="A155" s="23"/>
      <c r="B155" s="23"/>
      <c r="C155" s="23"/>
      <c r="D155" s="23"/>
    </row>
    <row r="156" customFormat="false" ht="15" hidden="false" customHeight="false" outlineLevel="0" collapsed="false">
      <c r="A156" s="23"/>
      <c r="B156" s="23"/>
      <c r="C156" s="23"/>
      <c r="D156" s="23"/>
    </row>
    <row r="157" customFormat="false" ht="15" hidden="false" customHeight="false" outlineLevel="0" collapsed="false">
      <c r="A157" s="23"/>
      <c r="B157" s="23"/>
      <c r="C157" s="23"/>
      <c r="D157" s="23"/>
    </row>
    <row r="158" customFormat="false" ht="15" hidden="false" customHeight="false" outlineLevel="0" collapsed="false">
      <c r="A158" s="23"/>
      <c r="B158" s="23"/>
      <c r="C158" s="23"/>
      <c r="D158" s="23"/>
    </row>
    <row r="159" customFormat="false" ht="15" hidden="false" customHeight="false" outlineLevel="0" collapsed="false">
      <c r="A159" s="23"/>
      <c r="B159" s="23"/>
      <c r="C159" s="23"/>
      <c r="D159" s="23"/>
    </row>
    <row r="160" customFormat="false" ht="15" hidden="false" customHeight="false" outlineLevel="0" collapsed="false">
      <c r="A160" s="23"/>
      <c r="B160" s="23"/>
      <c r="C160" s="23"/>
      <c r="D160" s="23"/>
    </row>
    <row r="161" customFormat="false" ht="15" hidden="false" customHeight="false" outlineLevel="0" collapsed="false">
      <c r="A161" s="23"/>
      <c r="B161" s="23"/>
      <c r="C161" s="23"/>
      <c r="D161" s="23"/>
    </row>
    <row r="162" customFormat="false" ht="15" hidden="false" customHeight="false" outlineLevel="0" collapsed="false">
      <c r="A162" s="23"/>
      <c r="B162" s="23"/>
      <c r="C162" s="23"/>
      <c r="D162" s="23"/>
    </row>
    <row r="163" customFormat="false" ht="15" hidden="false" customHeight="false" outlineLevel="0" collapsed="false">
      <c r="A163" s="23"/>
      <c r="B163" s="23"/>
      <c r="C163" s="23"/>
      <c r="D163" s="23"/>
    </row>
    <row r="164" customFormat="false" ht="15" hidden="false" customHeight="false" outlineLevel="0" collapsed="false">
      <c r="A164" s="23"/>
      <c r="B164" s="23"/>
      <c r="C164" s="23"/>
      <c r="D164" s="23"/>
    </row>
    <row r="165" customFormat="false" ht="15" hidden="false" customHeight="false" outlineLevel="0" collapsed="false">
      <c r="A165" s="23"/>
      <c r="B165" s="23"/>
      <c r="C165" s="23"/>
      <c r="D165" s="23"/>
    </row>
    <row r="166" customFormat="false" ht="15" hidden="false" customHeight="false" outlineLevel="0" collapsed="false">
      <c r="A166" s="23"/>
      <c r="B166" s="23"/>
      <c r="C166" s="23"/>
      <c r="D166" s="23"/>
    </row>
    <row r="167" customFormat="false" ht="15" hidden="false" customHeight="false" outlineLevel="0" collapsed="false">
      <c r="A167" s="23"/>
      <c r="B167" s="23"/>
      <c r="C167" s="23"/>
      <c r="D167" s="23"/>
    </row>
    <row r="168" customFormat="false" ht="15" hidden="false" customHeight="false" outlineLevel="0" collapsed="false">
      <c r="A168" s="23"/>
      <c r="B168" s="23"/>
      <c r="C168" s="23"/>
      <c r="D168" s="23"/>
    </row>
    <row r="169" customFormat="false" ht="15" hidden="false" customHeight="false" outlineLevel="0" collapsed="false">
      <c r="A169" s="23"/>
      <c r="B169" s="23"/>
      <c r="C169" s="23"/>
      <c r="D169" s="23"/>
    </row>
    <row r="170" customFormat="false" ht="15" hidden="false" customHeight="false" outlineLevel="0" collapsed="false">
      <c r="A170" s="23"/>
      <c r="B170" s="23"/>
      <c r="C170" s="23"/>
      <c r="D170" s="23"/>
    </row>
    <row r="171" customFormat="false" ht="15" hidden="false" customHeight="false" outlineLevel="0" collapsed="false">
      <c r="A171" s="23"/>
      <c r="B171" s="23"/>
      <c r="C171" s="23"/>
      <c r="D171" s="23"/>
    </row>
    <row r="172" customFormat="false" ht="15" hidden="false" customHeight="false" outlineLevel="0" collapsed="false">
      <c r="A172" s="23"/>
      <c r="B172" s="23"/>
      <c r="C172" s="23"/>
      <c r="D172" s="23"/>
    </row>
    <row r="173" customFormat="false" ht="15" hidden="false" customHeight="false" outlineLevel="0" collapsed="false">
      <c r="A173" s="23"/>
      <c r="B173" s="23"/>
      <c r="C173" s="23"/>
      <c r="D173" s="23"/>
    </row>
    <row r="174" customFormat="false" ht="15" hidden="false" customHeight="false" outlineLevel="0" collapsed="false">
      <c r="A174" s="23"/>
      <c r="B174" s="23"/>
      <c r="C174" s="23"/>
      <c r="D174" s="23"/>
    </row>
    <row r="175" customFormat="false" ht="15" hidden="false" customHeight="false" outlineLevel="0" collapsed="false">
      <c r="A175" s="23"/>
      <c r="B175" s="23"/>
      <c r="C175" s="23"/>
      <c r="D175" s="23"/>
    </row>
    <row r="176" customFormat="false" ht="15" hidden="false" customHeight="false" outlineLevel="0" collapsed="false">
      <c r="A176" s="23"/>
      <c r="B176" s="23"/>
      <c r="C176" s="23"/>
      <c r="D176" s="23"/>
    </row>
    <row r="177" customFormat="false" ht="15" hidden="false" customHeight="false" outlineLevel="0" collapsed="false">
      <c r="A177" s="23"/>
      <c r="B177" s="23"/>
      <c r="C177" s="23"/>
      <c r="D177" s="23"/>
    </row>
    <row r="178" customFormat="false" ht="15" hidden="false" customHeight="false" outlineLevel="0" collapsed="false">
      <c r="A178" s="23"/>
      <c r="B178" s="23"/>
      <c r="C178" s="23"/>
      <c r="D178" s="23"/>
    </row>
    <row r="179" customFormat="false" ht="15" hidden="false" customHeight="false" outlineLevel="0" collapsed="false">
      <c r="A179" s="23"/>
      <c r="B179" s="23"/>
      <c r="C179" s="23"/>
      <c r="D179" s="23"/>
    </row>
    <row r="180" customFormat="false" ht="15" hidden="false" customHeight="false" outlineLevel="0" collapsed="false">
      <c r="A180" s="23"/>
      <c r="B180" s="23"/>
      <c r="C180" s="23"/>
      <c r="D180" s="23"/>
    </row>
    <row r="181" customFormat="false" ht="15" hidden="false" customHeight="false" outlineLevel="0" collapsed="false">
      <c r="A181" s="23"/>
      <c r="B181" s="23"/>
      <c r="C181" s="23"/>
      <c r="D181" s="23"/>
    </row>
    <row r="182" customFormat="false" ht="15" hidden="false" customHeight="false" outlineLevel="0" collapsed="false">
      <c r="A182" s="23"/>
      <c r="B182" s="23"/>
      <c r="C182" s="23"/>
      <c r="D182" s="23"/>
    </row>
    <row r="183" customFormat="false" ht="15" hidden="false" customHeight="false" outlineLevel="0" collapsed="false">
      <c r="A183" s="23"/>
      <c r="B183" s="23"/>
      <c r="C183" s="23"/>
      <c r="D183" s="23"/>
    </row>
    <row r="184" customFormat="false" ht="15" hidden="false" customHeight="false" outlineLevel="0" collapsed="false">
      <c r="A184" s="23"/>
      <c r="B184" s="23"/>
      <c r="C184" s="23"/>
      <c r="D184" s="23"/>
    </row>
    <row r="185" customFormat="false" ht="15" hidden="false" customHeight="false" outlineLevel="0" collapsed="false">
      <c r="A185" s="23"/>
      <c r="B185" s="23"/>
      <c r="C185" s="23"/>
      <c r="D185" s="23"/>
    </row>
    <row r="186" customFormat="false" ht="15" hidden="false" customHeight="false" outlineLevel="0" collapsed="false">
      <c r="A186" s="23"/>
      <c r="B186" s="23"/>
      <c r="C186" s="23"/>
      <c r="D186" s="23"/>
    </row>
    <row r="187" customFormat="false" ht="15" hidden="false" customHeight="false" outlineLevel="0" collapsed="false">
      <c r="A187" s="23"/>
      <c r="B187" s="23"/>
      <c r="C187" s="23"/>
      <c r="D187" s="23"/>
    </row>
    <row r="188" customFormat="false" ht="15" hidden="false" customHeight="false" outlineLevel="0" collapsed="false">
      <c r="A188" s="23"/>
      <c r="B188" s="23"/>
      <c r="C188" s="23"/>
      <c r="D188" s="23"/>
    </row>
    <row r="189" customFormat="false" ht="15" hidden="false" customHeight="false" outlineLevel="0" collapsed="false">
      <c r="A189" s="23"/>
      <c r="B189" s="23"/>
      <c r="C189" s="23"/>
      <c r="D189" s="23"/>
    </row>
    <row r="190" customFormat="false" ht="15" hidden="false" customHeight="false" outlineLevel="0" collapsed="false">
      <c r="A190" s="23"/>
      <c r="B190" s="23"/>
      <c r="C190" s="23"/>
      <c r="D190" s="23"/>
    </row>
    <row r="191" customFormat="false" ht="15" hidden="false" customHeight="false" outlineLevel="0" collapsed="false">
      <c r="A191" s="23"/>
      <c r="B191" s="23"/>
      <c r="C191" s="23"/>
      <c r="D191" s="23"/>
    </row>
    <row r="192" customFormat="false" ht="15" hidden="false" customHeight="false" outlineLevel="0" collapsed="false">
      <c r="A192" s="23"/>
      <c r="B192" s="23"/>
      <c r="C192" s="23"/>
      <c r="D192" s="23"/>
    </row>
    <row r="193" customFormat="false" ht="15" hidden="false" customHeight="false" outlineLevel="0" collapsed="false">
      <c r="A193" s="23"/>
      <c r="B193" s="23"/>
      <c r="C193" s="23"/>
      <c r="D193" s="23"/>
    </row>
    <row r="194" customFormat="false" ht="15" hidden="false" customHeight="false" outlineLevel="0" collapsed="false">
      <c r="A194" s="23"/>
      <c r="B194" s="23"/>
      <c r="C194" s="23"/>
      <c r="D194" s="23"/>
    </row>
    <row r="195" customFormat="false" ht="15" hidden="false" customHeight="false" outlineLevel="0" collapsed="false">
      <c r="A195" s="23"/>
      <c r="B195" s="23"/>
      <c r="C195" s="23"/>
      <c r="D195" s="23"/>
    </row>
    <row r="196" customFormat="false" ht="15" hidden="false" customHeight="false" outlineLevel="0" collapsed="false">
      <c r="A196" s="23"/>
      <c r="B196" s="23"/>
      <c r="C196" s="23"/>
      <c r="D196" s="23"/>
    </row>
    <row r="197" customFormat="false" ht="15" hidden="false" customHeight="false" outlineLevel="0" collapsed="false">
      <c r="A197" s="23"/>
      <c r="B197" s="23"/>
      <c r="C197" s="23"/>
      <c r="D197" s="23"/>
    </row>
    <row r="198" customFormat="false" ht="15" hidden="false" customHeight="false" outlineLevel="0" collapsed="false">
      <c r="A198" s="23"/>
      <c r="B198" s="23"/>
      <c r="C198" s="23"/>
      <c r="D198" s="23"/>
    </row>
    <row r="199" customFormat="false" ht="15" hidden="false" customHeight="false" outlineLevel="0" collapsed="false">
      <c r="A199" s="23"/>
      <c r="B199" s="23"/>
      <c r="C199" s="23"/>
      <c r="D199" s="23"/>
    </row>
    <row r="200" customFormat="false" ht="15" hidden="false" customHeight="false" outlineLevel="0" collapsed="false">
      <c r="A200" s="23"/>
      <c r="B200" s="23"/>
      <c r="C200" s="23"/>
      <c r="D200" s="23"/>
    </row>
    <row r="201" customFormat="false" ht="15" hidden="false" customHeight="false" outlineLevel="0" collapsed="false">
      <c r="A201" s="23"/>
      <c r="B201" s="23"/>
      <c r="C201" s="23"/>
      <c r="D201" s="23"/>
    </row>
    <row r="202" customFormat="false" ht="15" hidden="false" customHeight="false" outlineLevel="0" collapsed="false">
      <c r="A202" s="23"/>
      <c r="B202" s="23"/>
      <c r="C202" s="23"/>
      <c r="D202" s="23"/>
    </row>
    <row r="203" customFormat="false" ht="15" hidden="false" customHeight="false" outlineLevel="0" collapsed="false">
      <c r="A203" s="23"/>
      <c r="B203" s="23"/>
      <c r="C203" s="23"/>
      <c r="D203" s="23"/>
    </row>
    <row r="204" customFormat="false" ht="15" hidden="false" customHeight="false" outlineLevel="0" collapsed="false">
      <c r="A204" s="23"/>
      <c r="B204" s="23"/>
      <c r="C204" s="23"/>
      <c r="D204" s="23"/>
    </row>
    <row r="205" customFormat="false" ht="15" hidden="false" customHeight="false" outlineLevel="0" collapsed="false">
      <c r="A205" s="23"/>
      <c r="B205" s="23"/>
      <c r="C205" s="23"/>
      <c r="D205" s="23"/>
    </row>
    <row r="206" customFormat="false" ht="15" hidden="false" customHeight="false" outlineLevel="0" collapsed="false">
      <c r="A206" s="23"/>
      <c r="B206" s="23"/>
      <c r="C206" s="23"/>
      <c r="D206" s="23"/>
    </row>
    <row r="207" customFormat="false" ht="15" hidden="false" customHeight="false" outlineLevel="0" collapsed="false">
      <c r="A207" s="23"/>
      <c r="B207" s="23"/>
      <c r="C207" s="23"/>
      <c r="D207" s="23"/>
    </row>
    <row r="208" customFormat="false" ht="15" hidden="false" customHeight="false" outlineLevel="0" collapsed="false">
      <c r="A208" s="23"/>
      <c r="B208" s="23"/>
      <c r="C208" s="23"/>
      <c r="D208" s="23"/>
    </row>
    <row r="209" customFormat="false" ht="15" hidden="false" customHeight="false" outlineLevel="0" collapsed="false">
      <c r="A209" s="23"/>
      <c r="B209" s="23"/>
      <c r="C209" s="23"/>
      <c r="D209" s="23"/>
    </row>
    <row r="210" customFormat="false" ht="15" hidden="false" customHeight="false" outlineLevel="0" collapsed="false">
      <c r="A210" s="23"/>
      <c r="B210" s="23"/>
      <c r="C210" s="23"/>
      <c r="D210" s="23"/>
    </row>
    <row r="211" customFormat="false" ht="15" hidden="false" customHeight="false" outlineLevel="0" collapsed="false">
      <c r="A211" s="23"/>
      <c r="B211" s="23"/>
      <c r="C211" s="23"/>
      <c r="D211" s="23"/>
    </row>
    <row r="212" customFormat="false" ht="15" hidden="false" customHeight="false" outlineLevel="0" collapsed="false">
      <c r="A212" s="23"/>
      <c r="B212" s="23"/>
      <c r="C212" s="23"/>
      <c r="D212" s="23"/>
    </row>
    <row r="213" customFormat="false" ht="15" hidden="false" customHeight="false" outlineLevel="0" collapsed="false">
      <c r="A213" s="23"/>
      <c r="B213" s="23"/>
      <c r="C213" s="23"/>
      <c r="D213" s="23"/>
    </row>
    <row r="214" customFormat="false" ht="15" hidden="false" customHeight="false" outlineLevel="0" collapsed="false">
      <c r="A214" s="23"/>
      <c r="B214" s="23"/>
      <c r="C214" s="23"/>
      <c r="D214" s="23"/>
    </row>
    <row r="215" customFormat="false" ht="15" hidden="false" customHeight="false" outlineLevel="0" collapsed="false">
      <c r="A215" s="23"/>
      <c r="B215" s="23"/>
      <c r="C215" s="23"/>
      <c r="D215" s="23"/>
    </row>
    <row r="216" customFormat="false" ht="15" hidden="false" customHeight="false" outlineLevel="0" collapsed="false">
      <c r="A216" s="23"/>
      <c r="B216" s="23"/>
      <c r="C216" s="23"/>
      <c r="D216" s="23"/>
    </row>
    <row r="217" customFormat="false" ht="15" hidden="false" customHeight="false" outlineLevel="0" collapsed="false">
      <c r="A217" s="23"/>
      <c r="B217" s="23"/>
      <c r="C217" s="23"/>
      <c r="D217" s="23"/>
    </row>
    <row r="218" customFormat="false" ht="15" hidden="false" customHeight="false" outlineLevel="0" collapsed="false">
      <c r="A218" s="23"/>
      <c r="B218" s="23"/>
      <c r="C218" s="23"/>
      <c r="D218" s="23"/>
    </row>
    <row r="219" customFormat="false" ht="15" hidden="false" customHeight="false" outlineLevel="0" collapsed="false">
      <c r="A219" s="23"/>
      <c r="B219" s="23"/>
      <c r="C219" s="23"/>
      <c r="D219" s="23"/>
    </row>
    <row r="220" customFormat="false" ht="15" hidden="false" customHeight="false" outlineLevel="0" collapsed="false">
      <c r="A220" s="23"/>
      <c r="B220" s="23"/>
      <c r="C220" s="23"/>
      <c r="D220" s="23"/>
    </row>
    <row r="221" customFormat="false" ht="15" hidden="false" customHeight="false" outlineLevel="0" collapsed="false">
      <c r="A221" s="23"/>
      <c r="B221" s="23"/>
      <c r="C221" s="23"/>
      <c r="D221" s="23"/>
    </row>
    <row r="222" customFormat="false" ht="15" hidden="false" customHeight="false" outlineLevel="0" collapsed="false">
      <c r="A222" s="23"/>
      <c r="B222" s="23"/>
      <c r="C222" s="23"/>
      <c r="D222" s="23"/>
    </row>
    <row r="223" customFormat="false" ht="15" hidden="false" customHeight="false" outlineLevel="0" collapsed="false">
      <c r="A223" s="23"/>
      <c r="B223" s="23"/>
      <c r="C223" s="23"/>
      <c r="D223" s="23"/>
    </row>
    <row r="224" customFormat="false" ht="15" hidden="false" customHeight="false" outlineLevel="0" collapsed="false">
      <c r="A224" s="23"/>
      <c r="B224" s="23"/>
      <c r="C224" s="23"/>
      <c r="D224" s="23"/>
    </row>
    <row r="225" customFormat="false" ht="15" hidden="false" customHeight="false" outlineLevel="0" collapsed="false">
      <c r="A225" s="23"/>
      <c r="B225" s="23"/>
      <c r="C225" s="23"/>
      <c r="D225" s="23"/>
    </row>
    <row r="226" customFormat="false" ht="15" hidden="false" customHeight="false" outlineLevel="0" collapsed="false">
      <c r="A226" s="23"/>
      <c r="B226" s="23"/>
      <c r="C226" s="23"/>
      <c r="D226" s="23"/>
    </row>
    <row r="227" customFormat="false" ht="15" hidden="false" customHeight="false" outlineLevel="0" collapsed="false">
      <c r="A227" s="23"/>
      <c r="B227" s="23"/>
      <c r="C227" s="23"/>
      <c r="D227" s="23"/>
    </row>
    <row r="228" customFormat="false" ht="15" hidden="false" customHeight="false" outlineLevel="0" collapsed="false">
      <c r="A228" s="23"/>
      <c r="B228" s="23"/>
      <c r="C228" s="23"/>
      <c r="D228" s="23"/>
    </row>
    <row r="229" customFormat="false" ht="15" hidden="false" customHeight="false" outlineLevel="0" collapsed="false">
      <c r="A229" s="23"/>
      <c r="B229" s="23"/>
      <c r="C229" s="23"/>
      <c r="D229" s="23"/>
    </row>
    <row r="230" customFormat="false" ht="15" hidden="false" customHeight="false" outlineLevel="0" collapsed="false">
      <c r="A230" s="23"/>
      <c r="B230" s="23"/>
      <c r="C230" s="23"/>
      <c r="D230" s="23"/>
    </row>
    <row r="231" customFormat="false" ht="15" hidden="false" customHeight="false" outlineLevel="0" collapsed="false">
      <c r="A231" s="23"/>
      <c r="B231" s="23"/>
      <c r="C231" s="23"/>
      <c r="D231" s="23"/>
    </row>
    <row r="232" customFormat="false" ht="15" hidden="false" customHeight="false" outlineLevel="0" collapsed="false">
      <c r="A232" s="23"/>
      <c r="B232" s="23"/>
      <c r="C232" s="23"/>
      <c r="D232" s="23"/>
    </row>
    <row r="233" customFormat="false" ht="15" hidden="false" customHeight="false" outlineLevel="0" collapsed="false">
      <c r="A233" s="23"/>
      <c r="B233" s="23"/>
      <c r="C233" s="23"/>
      <c r="D233" s="23"/>
    </row>
    <row r="234" customFormat="false" ht="15" hidden="false" customHeight="false" outlineLevel="0" collapsed="false">
      <c r="A234" s="23"/>
      <c r="B234" s="23"/>
      <c r="C234" s="23"/>
      <c r="D234" s="23"/>
    </row>
    <row r="235" customFormat="false" ht="15" hidden="false" customHeight="false" outlineLevel="0" collapsed="false">
      <c r="A235" s="23"/>
      <c r="B235" s="23"/>
      <c r="C235" s="23"/>
      <c r="D235" s="23"/>
    </row>
    <row r="236" customFormat="false" ht="15" hidden="false" customHeight="false" outlineLevel="0" collapsed="false">
      <c r="A236" s="23"/>
      <c r="B236" s="23"/>
      <c r="C236" s="23"/>
      <c r="D236" s="23"/>
    </row>
    <row r="237" customFormat="false" ht="15" hidden="false" customHeight="false" outlineLevel="0" collapsed="false">
      <c r="A237" s="23"/>
      <c r="B237" s="23"/>
      <c r="C237" s="23"/>
      <c r="D237" s="23"/>
    </row>
    <row r="238" customFormat="false" ht="15" hidden="false" customHeight="false" outlineLevel="0" collapsed="false">
      <c r="A238" s="23"/>
      <c r="B238" s="23"/>
      <c r="C238" s="23"/>
      <c r="D238" s="23"/>
    </row>
    <row r="239" customFormat="false" ht="15" hidden="false" customHeight="false" outlineLevel="0" collapsed="false">
      <c r="A239" s="23"/>
      <c r="B239" s="23"/>
      <c r="C239" s="23"/>
      <c r="D239" s="23"/>
    </row>
    <row r="240" customFormat="false" ht="15" hidden="false" customHeight="false" outlineLevel="0" collapsed="false">
      <c r="A240" s="23"/>
      <c r="B240" s="23"/>
      <c r="C240" s="23"/>
      <c r="D240" s="23"/>
    </row>
    <row r="241" customFormat="false" ht="15" hidden="false" customHeight="false" outlineLevel="0" collapsed="false">
      <c r="A241" s="23"/>
      <c r="B241" s="23"/>
      <c r="C241" s="23"/>
      <c r="D241" s="23"/>
    </row>
    <row r="242" customFormat="false" ht="15" hidden="false" customHeight="false" outlineLevel="0" collapsed="false">
      <c r="A242" s="23"/>
      <c r="B242" s="23"/>
      <c r="C242" s="23"/>
      <c r="D242" s="23"/>
    </row>
    <row r="243" customFormat="false" ht="15" hidden="false" customHeight="false" outlineLevel="0" collapsed="false">
      <c r="A243" s="23"/>
      <c r="B243" s="23"/>
      <c r="C243" s="23"/>
      <c r="D243" s="23"/>
    </row>
    <row r="244" customFormat="false" ht="15" hidden="false" customHeight="false" outlineLevel="0" collapsed="false">
      <c r="A244" s="23"/>
      <c r="B244" s="23"/>
      <c r="C244" s="23"/>
      <c r="D244" s="23"/>
    </row>
    <row r="245" customFormat="false" ht="15" hidden="false" customHeight="false" outlineLevel="0" collapsed="false">
      <c r="A245" s="23"/>
      <c r="B245" s="23"/>
      <c r="C245" s="23"/>
      <c r="D245" s="23"/>
    </row>
    <row r="246" customFormat="false" ht="15" hidden="false" customHeight="false" outlineLevel="0" collapsed="false">
      <c r="A246" s="23"/>
      <c r="B246" s="23"/>
      <c r="C246" s="23"/>
      <c r="D246" s="23"/>
    </row>
    <row r="247" customFormat="false" ht="15" hidden="false" customHeight="false" outlineLevel="0" collapsed="false">
      <c r="A247" s="23"/>
      <c r="B247" s="23"/>
      <c r="C247" s="23"/>
      <c r="D247" s="23"/>
    </row>
    <row r="248" customFormat="false" ht="15" hidden="false" customHeight="false" outlineLevel="0" collapsed="false">
      <c r="A248" s="23"/>
      <c r="B248" s="23"/>
      <c r="C248" s="23"/>
      <c r="D248" s="23"/>
    </row>
    <row r="249" customFormat="false" ht="15" hidden="false" customHeight="false" outlineLevel="0" collapsed="false">
      <c r="A249" s="23"/>
      <c r="B249" s="23"/>
      <c r="C249" s="23"/>
      <c r="D249" s="23"/>
    </row>
    <row r="250" customFormat="false" ht="15" hidden="false" customHeight="false" outlineLevel="0" collapsed="false">
      <c r="A250" s="23"/>
      <c r="B250" s="23"/>
      <c r="C250" s="23"/>
      <c r="D250" s="23"/>
    </row>
    <row r="251" customFormat="false" ht="15" hidden="false" customHeight="false" outlineLevel="0" collapsed="false">
      <c r="A251" s="23"/>
      <c r="B251" s="23"/>
      <c r="C251" s="23"/>
      <c r="D251" s="23"/>
    </row>
    <row r="252" customFormat="false" ht="15" hidden="false" customHeight="false" outlineLevel="0" collapsed="false">
      <c r="A252" s="23"/>
      <c r="B252" s="23"/>
      <c r="C252" s="23"/>
      <c r="D252" s="23"/>
    </row>
    <row r="253" customFormat="false" ht="15" hidden="false" customHeight="false" outlineLevel="0" collapsed="false">
      <c r="A253" s="23"/>
      <c r="B253" s="23"/>
      <c r="C253" s="23"/>
      <c r="D253" s="23"/>
    </row>
    <row r="254" customFormat="false" ht="15" hidden="false" customHeight="false" outlineLevel="0" collapsed="false">
      <c r="A254" s="23"/>
      <c r="B254" s="23"/>
      <c r="C254" s="23"/>
      <c r="D254" s="23"/>
    </row>
    <row r="255" customFormat="false" ht="15" hidden="false" customHeight="false" outlineLevel="0" collapsed="false">
      <c r="A255" s="23"/>
      <c r="B255" s="23"/>
      <c r="C255" s="23"/>
      <c r="D255" s="23"/>
    </row>
    <row r="256" customFormat="false" ht="15" hidden="false" customHeight="false" outlineLevel="0" collapsed="false">
      <c r="A256" s="23"/>
      <c r="B256" s="23"/>
      <c r="C256" s="23"/>
      <c r="D256" s="23"/>
    </row>
    <row r="257" customFormat="false" ht="15" hidden="false" customHeight="false" outlineLevel="0" collapsed="false">
      <c r="A257" s="23"/>
      <c r="B257" s="23"/>
      <c r="C257" s="23"/>
      <c r="D257" s="23"/>
    </row>
    <row r="258" customFormat="false" ht="15" hidden="false" customHeight="false" outlineLevel="0" collapsed="false">
      <c r="A258" s="23"/>
      <c r="B258" s="23"/>
      <c r="C258" s="23"/>
      <c r="D258" s="23"/>
    </row>
    <row r="259" customFormat="false" ht="15" hidden="false" customHeight="false" outlineLevel="0" collapsed="false">
      <c r="A259" s="23"/>
      <c r="B259" s="23"/>
      <c r="C259" s="23"/>
      <c r="D259" s="23"/>
    </row>
    <row r="260" customFormat="false" ht="15" hidden="false" customHeight="false" outlineLevel="0" collapsed="false">
      <c r="A260" s="23"/>
      <c r="B260" s="23"/>
      <c r="C260" s="23"/>
      <c r="D260" s="23"/>
    </row>
    <row r="261" customFormat="false" ht="15" hidden="false" customHeight="false" outlineLevel="0" collapsed="false">
      <c r="A261" s="23"/>
      <c r="B261" s="23"/>
      <c r="C261" s="23"/>
      <c r="D261" s="23"/>
    </row>
    <row r="262" customFormat="false" ht="15" hidden="false" customHeight="false" outlineLevel="0" collapsed="false">
      <c r="A262" s="23"/>
      <c r="B262" s="23"/>
      <c r="C262" s="23"/>
      <c r="D262" s="23"/>
    </row>
    <row r="263" customFormat="false" ht="15" hidden="false" customHeight="false" outlineLevel="0" collapsed="false">
      <c r="A263" s="23"/>
      <c r="B263" s="23"/>
      <c r="C263" s="23"/>
      <c r="D263" s="23"/>
    </row>
    <row r="264" customFormat="false" ht="15" hidden="false" customHeight="false" outlineLevel="0" collapsed="false">
      <c r="A264" s="23"/>
      <c r="B264" s="23"/>
      <c r="C264" s="23"/>
      <c r="D264" s="23"/>
    </row>
    <row r="265" customFormat="false" ht="15" hidden="false" customHeight="false" outlineLevel="0" collapsed="false">
      <c r="A265" s="23"/>
      <c r="B265" s="23"/>
      <c r="C265" s="23"/>
      <c r="D265" s="23"/>
    </row>
    <row r="266" customFormat="false" ht="15" hidden="false" customHeight="false" outlineLevel="0" collapsed="false">
      <c r="A266" s="23"/>
      <c r="B266" s="23"/>
      <c r="C266" s="23"/>
      <c r="D266" s="23"/>
    </row>
    <row r="267" customFormat="false" ht="15" hidden="false" customHeight="false" outlineLevel="0" collapsed="false">
      <c r="A267" s="23"/>
      <c r="B267" s="23"/>
      <c r="C267" s="23"/>
      <c r="D267" s="23"/>
    </row>
    <row r="268" customFormat="false" ht="15" hidden="false" customHeight="false" outlineLevel="0" collapsed="false">
      <c r="A268" s="23"/>
      <c r="B268" s="23"/>
      <c r="C268" s="23"/>
      <c r="D268" s="23"/>
    </row>
    <row r="269" customFormat="false" ht="15" hidden="false" customHeight="false" outlineLevel="0" collapsed="false">
      <c r="A269" s="23"/>
      <c r="B269" s="23"/>
      <c r="C269" s="23"/>
      <c r="D269" s="23"/>
    </row>
    <row r="270" customFormat="false" ht="15" hidden="false" customHeight="false" outlineLevel="0" collapsed="false">
      <c r="A270" s="23"/>
      <c r="B270" s="23"/>
      <c r="C270" s="23"/>
      <c r="D270" s="23"/>
    </row>
    <row r="271" customFormat="false" ht="15" hidden="false" customHeight="false" outlineLevel="0" collapsed="false">
      <c r="A271" s="23"/>
      <c r="B271" s="23"/>
      <c r="C271" s="23"/>
      <c r="D271" s="23"/>
    </row>
    <row r="272" customFormat="false" ht="15" hidden="false" customHeight="false" outlineLevel="0" collapsed="false">
      <c r="A272" s="23"/>
      <c r="B272" s="23"/>
      <c r="C272" s="23"/>
      <c r="D272" s="23"/>
    </row>
    <row r="273" customFormat="false" ht="15" hidden="false" customHeight="false" outlineLevel="0" collapsed="false">
      <c r="A273" s="23"/>
      <c r="B273" s="23"/>
      <c r="C273" s="23"/>
      <c r="D273" s="23"/>
    </row>
    <row r="274" customFormat="false" ht="15" hidden="false" customHeight="false" outlineLevel="0" collapsed="false">
      <c r="A274" s="23"/>
      <c r="B274" s="23"/>
      <c r="C274" s="23"/>
      <c r="D274" s="23"/>
    </row>
    <row r="275" customFormat="false" ht="15" hidden="false" customHeight="false" outlineLevel="0" collapsed="false">
      <c r="A275" s="23"/>
      <c r="B275" s="23"/>
      <c r="C275" s="23"/>
      <c r="D275" s="23"/>
    </row>
    <row r="276" customFormat="false" ht="15" hidden="false" customHeight="false" outlineLevel="0" collapsed="false">
      <c r="A276" s="23"/>
      <c r="B276" s="23"/>
      <c r="C276" s="23"/>
      <c r="D276" s="23"/>
    </row>
    <row r="277" customFormat="false" ht="15" hidden="false" customHeight="false" outlineLevel="0" collapsed="false">
      <c r="A277" s="23"/>
      <c r="B277" s="23"/>
      <c r="C277" s="23"/>
      <c r="D277" s="23"/>
    </row>
    <row r="278" customFormat="false" ht="15" hidden="false" customHeight="false" outlineLevel="0" collapsed="false">
      <c r="A278" s="23"/>
      <c r="B278" s="23"/>
      <c r="C278" s="23"/>
      <c r="D278" s="23"/>
    </row>
    <row r="279" customFormat="false" ht="15" hidden="false" customHeight="false" outlineLevel="0" collapsed="false">
      <c r="A279" s="23"/>
      <c r="B279" s="23"/>
      <c r="C279" s="23"/>
      <c r="D279" s="23"/>
    </row>
    <row r="280" customFormat="false" ht="15" hidden="false" customHeight="false" outlineLevel="0" collapsed="false">
      <c r="A280" s="23"/>
      <c r="B280" s="23"/>
      <c r="C280" s="23"/>
      <c r="D280" s="23"/>
    </row>
    <row r="281" customFormat="false" ht="15" hidden="false" customHeight="false" outlineLevel="0" collapsed="false">
      <c r="A281" s="23"/>
      <c r="B281" s="23"/>
      <c r="C281" s="23"/>
      <c r="D281" s="23"/>
    </row>
    <row r="282" customFormat="false" ht="15" hidden="false" customHeight="false" outlineLevel="0" collapsed="false">
      <c r="A282" s="23"/>
      <c r="B282" s="23"/>
      <c r="C282" s="23"/>
      <c r="D282" s="23"/>
    </row>
    <row r="283" customFormat="false" ht="15" hidden="false" customHeight="false" outlineLevel="0" collapsed="false">
      <c r="A283" s="23"/>
      <c r="B283" s="23"/>
      <c r="C283" s="23"/>
      <c r="D283" s="23"/>
    </row>
    <row r="284" customFormat="false" ht="15" hidden="false" customHeight="false" outlineLevel="0" collapsed="false">
      <c r="A284" s="23"/>
      <c r="B284" s="23"/>
      <c r="C284" s="23"/>
      <c r="D284" s="23"/>
    </row>
    <row r="285" customFormat="false" ht="15" hidden="false" customHeight="false" outlineLevel="0" collapsed="false">
      <c r="A285" s="23"/>
      <c r="B285" s="23"/>
      <c r="C285" s="23"/>
      <c r="D285" s="23"/>
    </row>
    <row r="286" customFormat="false" ht="15" hidden="false" customHeight="false" outlineLevel="0" collapsed="false">
      <c r="A286" s="23"/>
      <c r="B286" s="23"/>
      <c r="C286" s="23"/>
      <c r="D286" s="23"/>
    </row>
    <row r="287" customFormat="false" ht="15" hidden="false" customHeight="false" outlineLevel="0" collapsed="false">
      <c r="A287" s="23"/>
      <c r="B287" s="23"/>
      <c r="C287" s="23"/>
      <c r="D287" s="23"/>
    </row>
    <row r="288" customFormat="false" ht="15" hidden="false" customHeight="false" outlineLevel="0" collapsed="false">
      <c r="A288" s="23"/>
      <c r="B288" s="23"/>
      <c r="C288" s="23"/>
      <c r="D288" s="23"/>
    </row>
    <row r="289" customFormat="false" ht="15" hidden="false" customHeight="false" outlineLevel="0" collapsed="false">
      <c r="A289" s="23"/>
      <c r="B289" s="23"/>
      <c r="C289" s="23"/>
      <c r="D289" s="23"/>
    </row>
    <row r="290" customFormat="false" ht="15" hidden="false" customHeight="false" outlineLevel="0" collapsed="false">
      <c r="A290" s="23"/>
      <c r="B290" s="23"/>
      <c r="C290" s="23"/>
      <c r="D290" s="23"/>
    </row>
    <row r="291" customFormat="false" ht="15" hidden="false" customHeight="false" outlineLevel="0" collapsed="false">
      <c r="A291" s="23"/>
      <c r="B291" s="23"/>
      <c r="C291" s="23"/>
      <c r="D291" s="23"/>
    </row>
    <row r="292" customFormat="false" ht="15" hidden="false" customHeight="false" outlineLevel="0" collapsed="false">
      <c r="A292" s="23"/>
      <c r="B292" s="23"/>
      <c r="C292" s="23"/>
      <c r="D292" s="23"/>
    </row>
    <row r="293" customFormat="false" ht="15" hidden="false" customHeight="false" outlineLevel="0" collapsed="false">
      <c r="A293" s="23"/>
      <c r="B293" s="23"/>
      <c r="C293" s="23"/>
      <c r="D293" s="23"/>
    </row>
    <row r="294" customFormat="false" ht="15" hidden="false" customHeight="false" outlineLevel="0" collapsed="false">
      <c r="A294" s="23"/>
      <c r="B294" s="23"/>
      <c r="C294" s="23"/>
      <c r="D294" s="23"/>
    </row>
    <row r="295" customFormat="false" ht="15" hidden="false" customHeight="false" outlineLevel="0" collapsed="false">
      <c r="A295" s="23"/>
      <c r="B295" s="23"/>
      <c r="C295" s="23"/>
      <c r="D295" s="23"/>
    </row>
    <row r="296" customFormat="false" ht="15" hidden="false" customHeight="false" outlineLevel="0" collapsed="false">
      <c r="A296" s="23"/>
      <c r="B296" s="23"/>
      <c r="C296" s="23"/>
      <c r="D296" s="23"/>
    </row>
    <row r="297" customFormat="false" ht="15" hidden="false" customHeight="false" outlineLevel="0" collapsed="false">
      <c r="A297" s="23"/>
      <c r="B297" s="23"/>
      <c r="C297" s="23"/>
      <c r="D297" s="23"/>
    </row>
    <row r="298" customFormat="false" ht="15" hidden="false" customHeight="false" outlineLevel="0" collapsed="false">
      <c r="A298" s="23"/>
      <c r="B298" s="23"/>
      <c r="C298" s="23"/>
      <c r="D298" s="23"/>
    </row>
    <row r="299" customFormat="false" ht="15" hidden="false" customHeight="false" outlineLevel="0" collapsed="false">
      <c r="A299" s="23"/>
      <c r="B299" s="23"/>
      <c r="C299" s="23"/>
      <c r="D299" s="23"/>
    </row>
    <row r="300" customFormat="false" ht="15" hidden="false" customHeight="false" outlineLevel="0" collapsed="false">
      <c r="A300" s="23"/>
      <c r="B300" s="23"/>
      <c r="C300" s="23"/>
      <c r="D300" s="23"/>
    </row>
    <row r="301" customFormat="false" ht="15" hidden="false" customHeight="false" outlineLevel="0" collapsed="false">
      <c r="A301" s="23"/>
      <c r="B301" s="23"/>
      <c r="C301" s="23"/>
      <c r="D301" s="23"/>
    </row>
    <row r="302" customFormat="false" ht="15" hidden="false" customHeight="false" outlineLevel="0" collapsed="false">
      <c r="A302" s="23"/>
      <c r="B302" s="23"/>
      <c r="C302" s="23"/>
      <c r="D302" s="23"/>
    </row>
    <row r="303" customFormat="false" ht="15" hidden="false" customHeight="false" outlineLevel="0" collapsed="false">
      <c r="A303" s="23"/>
      <c r="B303" s="23"/>
      <c r="C303" s="23"/>
      <c r="D303" s="23"/>
    </row>
    <row r="304" customFormat="false" ht="15" hidden="false" customHeight="false" outlineLevel="0" collapsed="false">
      <c r="A304" s="23"/>
      <c r="B304" s="23"/>
      <c r="C304" s="23"/>
      <c r="D304" s="23"/>
    </row>
    <row r="305" customFormat="false" ht="15" hidden="false" customHeight="false" outlineLevel="0" collapsed="false">
      <c r="A305" s="23"/>
      <c r="B305" s="23"/>
      <c r="C305" s="23"/>
      <c r="D305" s="23"/>
    </row>
    <row r="306" customFormat="false" ht="15" hidden="false" customHeight="false" outlineLevel="0" collapsed="false">
      <c r="A306" s="23"/>
      <c r="B306" s="23"/>
      <c r="C306" s="23"/>
      <c r="D306" s="23"/>
    </row>
    <row r="307" customFormat="false" ht="15" hidden="false" customHeight="false" outlineLevel="0" collapsed="false">
      <c r="A307" s="23"/>
      <c r="B307" s="23"/>
      <c r="C307" s="23"/>
      <c r="D307" s="23"/>
    </row>
    <row r="308" customFormat="false" ht="15" hidden="false" customHeight="false" outlineLevel="0" collapsed="false">
      <c r="A308" s="23"/>
      <c r="B308" s="23"/>
      <c r="C308" s="23"/>
      <c r="D308" s="23"/>
    </row>
    <row r="309" customFormat="false" ht="15" hidden="false" customHeight="false" outlineLevel="0" collapsed="false">
      <c r="A309" s="23"/>
      <c r="B309" s="23"/>
      <c r="C309" s="23"/>
      <c r="D309" s="23"/>
    </row>
    <row r="310" customFormat="false" ht="15" hidden="false" customHeight="false" outlineLevel="0" collapsed="false">
      <c r="A310" s="23"/>
      <c r="B310" s="23"/>
      <c r="C310" s="23"/>
      <c r="D310" s="23"/>
    </row>
    <row r="311" customFormat="false" ht="15" hidden="false" customHeight="false" outlineLevel="0" collapsed="false">
      <c r="A311" s="23"/>
      <c r="B311" s="23"/>
      <c r="C311" s="23"/>
      <c r="D311" s="23"/>
    </row>
    <row r="312" customFormat="false" ht="15" hidden="false" customHeight="false" outlineLevel="0" collapsed="false">
      <c r="A312" s="23"/>
      <c r="B312" s="23"/>
      <c r="C312" s="23"/>
      <c r="D312" s="23"/>
    </row>
    <row r="313" customFormat="false" ht="15" hidden="false" customHeight="false" outlineLevel="0" collapsed="false">
      <c r="A313" s="23"/>
      <c r="B313" s="23"/>
      <c r="C313" s="23"/>
      <c r="D313" s="23"/>
    </row>
    <row r="314" customFormat="false" ht="15" hidden="false" customHeight="false" outlineLevel="0" collapsed="false">
      <c r="A314" s="23"/>
      <c r="B314" s="23"/>
      <c r="C314" s="23"/>
      <c r="D314" s="23"/>
    </row>
    <row r="315" customFormat="false" ht="15" hidden="false" customHeight="false" outlineLevel="0" collapsed="false">
      <c r="A315" s="23"/>
      <c r="B315" s="23"/>
      <c r="C315" s="23"/>
      <c r="D315" s="23"/>
    </row>
    <row r="316" customFormat="false" ht="15" hidden="false" customHeight="false" outlineLevel="0" collapsed="false">
      <c r="A316" s="23"/>
      <c r="B316" s="23"/>
      <c r="C316" s="23"/>
      <c r="D316" s="23"/>
    </row>
    <row r="317" customFormat="false" ht="15" hidden="false" customHeight="false" outlineLevel="0" collapsed="false">
      <c r="A317" s="23"/>
      <c r="B317" s="23"/>
      <c r="C317" s="23"/>
      <c r="D317" s="23"/>
    </row>
    <row r="318" customFormat="false" ht="15" hidden="false" customHeight="false" outlineLevel="0" collapsed="false">
      <c r="A318" s="23"/>
      <c r="B318" s="23"/>
      <c r="C318" s="23"/>
      <c r="D318" s="23"/>
    </row>
    <row r="319" customFormat="false" ht="15" hidden="false" customHeight="false" outlineLevel="0" collapsed="false">
      <c r="A319" s="23"/>
      <c r="B319" s="23"/>
      <c r="C319" s="23"/>
      <c r="D319" s="23"/>
    </row>
    <row r="320" customFormat="false" ht="15" hidden="false" customHeight="false" outlineLevel="0" collapsed="false">
      <c r="A320" s="23"/>
      <c r="B320" s="23"/>
      <c r="C320" s="23"/>
      <c r="D320" s="23"/>
    </row>
    <row r="321" customFormat="false" ht="15" hidden="false" customHeight="false" outlineLevel="0" collapsed="false">
      <c r="A321" s="23"/>
      <c r="B321" s="23"/>
      <c r="C321" s="23"/>
      <c r="D321" s="23"/>
    </row>
    <row r="322" customFormat="false" ht="15" hidden="false" customHeight="false" outlineLevel="0" collapsed="false">
      <c r="A322" s="23"/>
      <c r="B322" s="23"/>
      <c r="C322" s="23"/>
      <c r="D322" s="23"/>
    </row>
    <row r="323" customFormat="false" ht="15" hidden="false" customHeight="false" outlineLevel="0" collapsed="false">
      <c r="A323" s="23"/>
      <c r="B323" s="23"/>
      <c r="C323" s="23"/>
      <c r="D323" s="23"/>
    </row>
    <row r="324" customFormat="false" ht="15" hidden="false" customHeight="false" outlineLevel="0" collapsed="false">
      <c r="A324" s="23"/>
      <c r="B324" s="23"/>
      <c r="C324" s="23"/>
      <c r="D324" s="23"/>
    </row>
    <row r="325" customFormat="false" ht="15" hidden="false" customHeight="false" outlineLevel="0" collapsed="false">
      <c r="A325" s="23"/>
      <c r="B325" s="23"/>
      <c r="C325" s="23"/>
      <c r="D325" s="23"/>
    </row>
    <row r="326" customFormat="false" ht="15" hidden="false" customHeight="false" outlineLevel="0" collapsed="false">
      <c r="A326" s="23"/>
      <c r="B326" s="23"/>
      <c r="C326" s="23"/>
      <c r="D326" s="23"/>
    </row>
    <row r="327" customFormat="false" ht="15" hidden="false" customHeight="false" outlineLevel="0" collapsed="false">
      <c r="A327" s="23"/>
      <c r="B327" s="23"/>
      <c r="C327" s="23"/>
      <c r="D327" s="23"/>
    </row>
    <row r="328" customFormat="false" ht="15" hidden="false" customHeight="false" outlineLevel="0" collapsed="false">
      <c r="A328" s="23"/>
      <c r="B328" s="23"/>
      <c r="C328" s="23"/>
      <c r="D328" s="23"/>
    </row>
    <row r="329" customFormat="false" ht="15" hidden="false" customHeight="false" outlineLevel="0" collapsed="false">
      <c r="A329" s="23"/>
      <c r="B329" s="23"/>
      <c r="C329" s="23"/>
      <c r="D329" s="23"/>
    </row>
    <row r="330" customFormat="false" ht="15" hidden="false" customHeight="false" outlineLevel="0" collapsed="false">
      <c r="A330" s="23"/>
      <c r="B330" s="23"/>
      <c r="C330" s="23"/>
      <c r="D330" s="23"/>
    </row>
    <row r="331" customFormat="false" ht="15" hidden="false" customHeight="false" outlineLevel="0" collapsed="false">
      <c r="A331" s="23"/>
      <c r="B331" s="23"/>
      <c r="C331" s="23"/>
      <c r="D331" s="23"/>
    </row>
    <row r="332" customFormat="false" ht="15" hidden="false" customHeight="false" outlineLevel="0" collapsed="false">
      <c r="A332" s="23"/>
      <c r="B332" s="23"/>
      <c r="C332" s="23"/>
      <c r="D332" s="23"/>
    </row>
    <row r="333" customFormat="false" ht="15" hidden="false" customHeight="false" outlineLevel="0" collapsed="false">
      <c r="A333" s="23"/>
      <c r="B333" s="23"/>
      <c r="C333" s="23"/>
      <c r="D333" s="23"/>
    </row>
    <row r="334" customFormat="false" ht="15" hidden="false" customHeight="false" outlineLevel="0" collapsed="false">
      <c r="A334" s="23"/>
      <c r="B334" s="23"/>
      <c r="C334" s="23"/>
      <c r="D334" s="23"/>
    </row>
    <row r="335" customFormat="false" ht="15" hidden="false" customHeight="false" outlineLevel="0" collapsed="false">
      <c r="A335" s="23"/>
      <c r="B335" s="23"/>
      <c r="C335" s="23"/>
      <c r="D335" s="23"/>
    </row>
    <row r="336" customFormat="false" ht="15" hidden="false" customHeight="false" outlineLevel="0" collapsed="false">
      <c r="A336" s="23"/>
      <c r="B336" s="23"/>
      <c r="C336" s="23"/>
      <c r="D336" s="23"/>
    </row>
    <row r="337" customFormat="false" ht="15" hidden="false" customHeight="false" outlineLevel="0" collapsed="false">
      <c r="A337" s="23"/>
      <c r="B337" s="23"/>
      <c r="C337" s="23"/>
      <c r="D337" s="23"/>
    </row>
    <row r="338" customFormat="false" ht="15" hidden="false" customHeight="false" outlineLevel="0" collapsed="false">
      <c r="A338" s="23"/>
      <c r="B338" s="23"/>
      <c r="C338" s="23"/>
      <c r="D338" s="23"/>
    </row>
    <row r="339" customFormat="false" ht="15" hidden="false" customHeight="false" outlineLevel="0" collapsed="false">
      <c r="A339" s="23"/>
      <c r="B339" s="23"/>
      <c r="C339" s="23"/>
      <c r="D339" s="23"/>
    </row>
    <row r="340" customFormat="false" ht="15" hidden="false" customHeight="false" outlineLevel="0" collapsed="false">
      <c r="A340" s="23"/>
      <c r="B340" s="23"/>
      <c r="C340" s="23"/>
      <c r="D340" s="23"/>
    </row>
    <row r="341" customFormat="false" ht="15" hidden="false" customHeight="false" outlineLevel="0" collapsed="false">
      <c r="A341" s="23"/>
      <c r="B341" s="23"/>
      <c r="C341" s="23"/>
      <c r="D341" s="23"/>
    </row>
    <row r="342" customFormat="false" ht="15" hidden="false" customHeight="false" outlineLevel="0" collapsed="false">
      <c r="A342" s="23"/>
      <c r="B342" s="23"/>
      <c r="C342" s="23"/>
      <c r="D342" s="23"/>
    </row>
    <row r="343" customFormat="false" ht="15" hidden="false" customHeight="false" outlineLevel="0" collapsed="false">
      <c r="A343" s="23"/>
      <c r="B343" s="23"/>
      <c r="C343" s="23"/>
      <c r="D343" s="23"/>
    </row>
    <row r="344" customFormat="false" ht="15" hidden="false" customHeight="false" outlineLevel="0" collapsed="false">
      <c r="A344" s="23"/>
      <c r="B344" s="23"/>
      <c r="C344" s="23"/>
      <c r="D344" s="23"/>
    </row>
    <row r="345" customFormat="false" ht="15" hidden="false" customHeight="false" outlineLevel="0" collapsed="false">
      <c r="A345" s="23"/>
      <c r="B345" s="23"/>
      <c r="C345" s="23"/>
      <c r="D345" s="23"/>
    </row>
    <row r="346" customFormat="false" ht="15" hidden="false" customHeight="false" outlineLevel="0" collapsed="false">
      <c r="A346" s="23"/>
      <c r="B346" s="23"/>
      <c r="C346" s="23"/>
      <c r="D346" s="23"/>
    </row>
    <row r="347" customFormat="false" ht="15" hidden="false" customHeight="false" outlineLevel="0" collapsed="false">
      <c r="A347" s="23"/>
      <c r="B347" s="23"/>
      <c r="C347" s="23"/>
      <c r="D347" s="23"/>
    </row>
    <row r="348" customFormat="false" ht="15" hidden="false" customHeight="false" outlineLevel="0" collapsed="false">
      <c r="A348" s="23"/>
      <c r="B348" s="23"/>
      <c r="C348" s="23"/>
      <c r="D348" s="23"/>
    </row>
    <row r="349" customFormat="false" ht="15" hidden="false" customHeight="false" outlineLevel="0" collapsed="false">
      <c r="A349" s="23"/>
      <c r="B349" s="23"/>
      <c r="C349" s="23"/>
      <c r="D349" s="23"/>
    </row>
    <row r="350" customFormat="false" ht="15" hidden="false" customHeight="false" outlineLevel="0" collapsed="false">
      <c r="A350" s="23"/>
      <c r="B350" s="23"/>
      <c r="C350" s="23"/>
      <c r="D350" s="23"/>
    </row>
    <row r="351" customFormat="false" ht="15" hidden="false" customHeight="false" outlineLevel="0" collapsed="false">
      <c r="A351" s="23"/>
      <c r="B351" s="23"/>
      <c r="C351" s="23"/>
      <c r="D351" s="23"/>
    </row>
    <row r="352" customFormat="false" ht="15" hidden="false" customHeight="false" outlineLevel="0" collapsed="false">
      <c r="A352" s="23"/>
      <c r="B352" s="23"/>
      <c r="C352" s="23"/>
      <c r="D352" s="23"/>
    </row>
    <row r="353" customFormat="false" ht="15" hidden="false" customHeight="false" outlineLevel="0" collapsed="false">
      <c r="A353" s="23"/>
      <c r="B353" s="23"/>
      <c r="C353" s="23"/>
      <c r="D353" s="23"/>
    </row>
    <row r="354" customFormat="false" ht="15" hidden="false" customHeight="false" outlineLevel="0" collapsed="false">
      <c r="A354" s="23"/>
      <c r="B354" s="23"/>
      <c r="C354" s="23"/>
      <c r="D354" s="23"/>
    </row>
    <row r="355" customFormat="false" ht="15" hidden="false" customHeight="false" outlineLevel="0" collapsed="false">
      <c r="A355" s="23"/>
      <c r="B355" s="23"/>
      <c r="C355" s="23"/>
      <c r="D355" s="23"/>
    </row>
    <row r="356" customFormat="false" ht="15" hidden="false" customHeight="false" outlineLevel="0" collapsed="false">
      <c r="A356" s="23"/>
      <c r="B356" s="23"/>
      <c r="C356" s="23"/>
      <c r="D356" s="23"/>
    </row>
    <row r="357" customFormat="false" ht="15" hidden="false" customHeight="false" outlineLevel="0" collapsed="false">
      <c r="A357" s="23"/>
      <c r="B357" s="23"/>
      <c r="C357" s="23"/>
      <c r="D357" s="23"/>
    </row>
    <row r="358" customFormat="false" ht="15" hidden="false" customHeight="false" outlineLevel="0" collapsed="false">
      <c r="A358" s="23"/>
      <c r="B358" s="23"/>
      <c r="C358" s="23"/>
      <c r="D358" s="23"/>
    </row>
    <row r="359" customFormat="false" ht="15" hidden="false" customHeight="false" outlineLevel="0" collapsed="false">
      <c r="A359" s="23"/>
      <c r="B359" s="23"/>
      <c r="C359" s="23"/>
      <c r="D359" s="23"/>
    </row>
    <row r="360" customFormat="false" ht="15" hidden="false" customHeight="false" outlineLevel="0" collapsed="false">
      <c r="A360" s="23"/>
      <c r="B360" s="23"/>
      <c r="C360" s="23"/>
      <c r="D360" s="23"/>
    </row>
    <row r="361" customFormat="false" ht="15" hidden="false" customHeight="false" outlineLevel="0" collapsed="false">
      <c r="A361" s="23"/>
      <c r="B361" s="23"/>
      <c r="C361" s="23"/>
      <c r="D361" s="23"/>
    </row>
    <row r="362" customFormat="false" ht="15" hidden="false" customHeight="false" outlineLevel="0" collapsed="false">
      <c r="A362" s="23"/>
      <c r="B362" s="23"/>
      <c r="C362" s="23"/>
      <c r="D362" s="23"/>
    </row>
    <row r="363" customFormat="false" ht="15" hidden="false" customHeight="false" outlineLevel="0" collapsed="false">
      <c r="A363" s="23"/>
      <c r="B363" s="23"/>
      <c r="C363" s="23"/>
      <c r="D363" s="23"/>
    </row>
    <row r="364" customFormat="false" ht="15" hidden="false" customHeight="false" outlineLevel="0" collapsed="false">
      <c r="A364" s="23"/>
      <c r="B364" s="23"/>
      <c r="C364" s="23"/>
      <c r="D364" s="23"/>
    </row>
    <row r="365" customFormat="false" ht="15" hidden="false" customHeight="false" outlineLevel="0" collapsed="false">
      <c r="A365" s="23"/>
      <c r="B365" s="23"/>
      <c r="C365" s="23"/>
      <c r="D365" s="23"/>
    </row>
    <row r="366" customFormat="false" ht="15" hidden="false" customHeight="false" outlineLevel="0" collapsed="false">
      <c r="A366" s="23"/>
      <c r="B366" s="23"/>
      <c r="C366" s="23"/>
      <c r="D366" s="23"/>
    </row>
    <row r="367" customFormat="false" ht="15" hidden="false" customHeight="false" outlineLevel="0" collapsed="false">
      <c r="A367" s="23"/>
      <c r="B367" s="23"/>
      <c r="C367" s="23"/>
      <c r="D367" s="23"/>
    </row>
    <row r="368" customFormat="false" ht="15" hidden="false" customHeight="false" outlineLevel="0" collapsed="false">
      <c r="A368" s="23"/>
      <c r="B368" s="23"/>
      <c r="C368" s="23"/>
      <c r="D368" s="23"/>
    </row>
    <row r="369" customFormat="false" ht="15" hidden="false" customHeight="false" outlineLevel="0" collapsed="false">
      <c r="A369" s="23"/>
      <c r="B369" s="23"/>
      <c r="C369" s="23"/>
      <c r="D369" s="23"/>
    </row>
    <row r="370" customFormat="false" ht="15" hidden="false" customHeight="false" outlineLevel="0" collapsed="false">
      <c r="A370" s="23"/>
      <c r="B370" s="23"/>
      <c r="C370" s="23"/>
      <c r="D370" s="23"/>
    </row>
    <row r="371" customFormat="false" ht="15" hidden="false" customHeight="false" outlineLevel="0" collapsed="false">
      <c r="A371" s="23"/>
      <c r="B371" s="23"/>
      <c r="C371" s="23"/>
      <c r="D371" s="23"/>
    </row>
    <row r="372" customFormat="false" ht="15" hidden="false" customHeight="false" outlineLevel="0" collapsed="false">
      <c r="A372" s="23"/>
      <c r="B372" s="23"/>
      <c r="C372" s="23"/>
      <c r="D372" s="23"/>
    </row>
    <row r="373" customFormat="false" ht="15" hidden="false" customHeight="false" outlineLevel="0" collapsed="false">
      <c r="A373" s="23"/>
      <c r="B373" s="23"/>
      <c r="C373" s="23"/>
      <c r="D373" s="23"/>
    </row>
    <row r="374" customFormat="false" ht="15" hidden="false" customHeight="false" outlineLevel="0" collapsed="false">
      <c r="A374" s="23"/>
      <c r="B374" s="23"/>
      <c r="C374" s="23"/>
      <c r="D374" s="23"/>
    </row>
    <row r="375" customFormat="false" ht="15" hidden="false" customHeight="false" outlineLevel="0" collapsed="false">
      <c r="A375" s="23"/>
      <c r="B375" s="23"/>
      <c r="C375" s="23"/>
      <c r="D375" s="23"/>
    </row>
    <row r="376" customFormat="false" ht="15" hidden="false" customHeight="false" outlineLevel="0" collapsed="false">
      <c r="A376" s="23"/>
      <c r="B376" s="23"/>
      <c r="C376" s="23"/>
      <c r="D376" s="23"/>
    </row>
    <row r="377" customFormat="false" ht="15" hidden="false" customHeight="false" outlineLevel="0" collapsed="false">
      <c r="A377" s="23"/>
      <c r="B377" s="23"/>
      <c r="C377" s="23"/>
      <c r="D377" s="23"/>
    </row>
    <row r="378" customFormat="false" ht="15" hidden="false" customHeight="false" outlineLevel="0" collapsed="false">
      <c r="A378" s="23"/>
      <c r="B378" s="23"/>
      <c r="C378" s="23"/>
      <c r="D378" s="23"/>
    </row>
    <row r="379" customFormat="false" ht="15" hidden="false" customHeight="false" outlineLevel="0" collapsed="false">
      <c r="A379" s="23"/>
      <c r="B379" s="23"/>
      <c r="C379" s="23"/>
      <c r="D379" s="23"/>
    </row>
    <row r="380" customFormat="false" ht="15" hidden="false" customHeight="false" outlineLevel="0" collapsed="false">
      <c r="A380" s="23"/>
      <c r="B380" s="23"/>
      <c r="C380" s="23"/>
      <c r="D380" s="23"/>
    </row>
    <row r="381" customFormat="false" ht="15" hidden="false" customHeight="false" outlineLevel="0" collapsed="false">
      <c r="A381" s="23"/>
      <c r="B381" s="23"/>
      <c r="C381" s="23"/>
      <c r="D381" s="23"/>
    </row>
    <row r="382" customFormat="false" ht="15" hidden="false" customHeight="false" outlineLevel="0" collapsed="false">
      <c r="A382" s="23"/>
      <c r="B382" s="23"/>
      <c r="C382" s="23"/>
      <c r="D382" s="23"/>
    </row>
    <row r="383" customFormat="false" ht="15" hidden="false" customHeight="false" outlineLevel="0" collapsed="false">
      <c r="A383" s="23"/>
      <c r="B383" s="23"/>
      <c r="C383" s="23"/>
      <c r="D383" s="23"/>
    </row>
    <row r="384" customFormat="false" ht="15" hidden="false" customHeight="false" outlineLevel="0" collapsed="false">
      <c r="A384" s="23"/>
      <c r="B384" s="23"/>
      <c r="C384" s="23"/>
      <c r="D384" s="23"/>
    </row>
    <row r="385" customFormat="false" ht="15" hidden="false" customHeight="false" outlineLevel="0" collapsed="false">
      <c r="A385" s="23"/>
      <c r="B385" s="23"/>
      <c r="C385" s="23"/>
      <c r="D385" s="23"/>
    </row>
    <row r="386" customFormat="false" ht="15" hidden="false" customHeight="false" outlineLevel="0" collapsed="false">
      <c r="A386" s="23"/>
      <c r="B386" s="23"/>
      <c r="C386" s="23"/>
      <c r="D386" s="23"/>
    </row>
    <row r="387" customFormat="false" ht="15" hidden="false" customHeight="false" outlineLevel="0" collapsed="false">
      <c r="A387" s="23"/>
      <c r="B387" s="23"/>
      <c r="C387" s="23"/>
      <c r="D387" s="23"/>
    </row>
    <row r="388" customFormat="false" ht="15" hidden="false" customHeight="false" outlineLevel="0" collapsed="false">
      <c r="A388" s="23"/>
      <c r="B388" s="23"/>
      <c r="C388" s="23"/>
      <c r="D388" s="23"/>
    </row>
    <row r="389" customFormat="false" ht="15" hidden="false" customHeight="false" outlineLevel="0" collapsed="false">
      <c r="A389" s="23"/>
      <c r="B389" s="23"/>
      <c r="C389" s="23"/>
      <c r="D389" s="23"/>
    </row>
    <row r="390" customFormat="false" ht="15" hidden="false" customHeight="false" outlineLevel="0" collapsed="false">
      <c r="A390" s="23"/>
      <c r="B390" s="23"/>
      <c r="C390" s="23"/>
      <c r="D390" s="23"/>
    </row>
    <row r="391" customFormat="false" ht="15" hidden="false" customHeight="false" outlineLevel="0" collapsed="false">
      <c r="A391" s="23"/>
      <c r="B391" s="23"/>
      <c r="C391" s="23"/>
      <c r="D391" s="23"/>
    </row>
    <row r="392" customFormat="false" ht="15" hidden="false" customHeight="false" outlineLevel="0" collapsed="false">
      <c r="A392" s="23"/>
      <c r="B392" s="23"/>
      <c r="C392" s="23"/>
      <c r="D392" s="23"/>
    </row>
    <row r="393" customFormat="false" ht="15" hidden="false" customHeight="false" outlineLevel="0" collapsed="false">
      <c r="A393" s="23"/>
      <c r="B393" s="23"/>
      <c r="C393" s="23"/>
      <c r="D393" s="23"/>
    </row>
    <row r="394" customFormat="false" ht="15" hidden="false" customHeight="false" outlineLevel="0" collapsed="false">
      <c r="A394" s="23"/>
      <c r="B394" s="23"/>
      <c r="C394" s="23"/>
      <c r="D394" s="23"/>
    </row>
    <row r="395" customFormat="false" ht="15" hidden="false" customHeight="false" outlineLevel="0" collapsed="false">
      <c r="A395" s="23"/>
      <c r="B395" s="23"/>
      <c r="C395" s="23"/>
      <c r="D395" s="23"/>
    </row>
    <row r="396" customFormat="false" ht="15" hidden="false" customHeight="false" outlineLevel="0" collapsed="false">
      <c r="A396" s="23"/>
      <c r="B396" s="23"/>
      <c r="C396" s="23"/>
      <c r="D396" s="23"/>
    </row>
    <row r="397" customFormat="false" ht="15" hidden="false" customHeight="false" outlineLevel="0" collapsed="false">
      <c r="A397" s="23"/>
      <c r="B397" s="23"/>
      <c r="C397" s="23"/>
      <c r="D397" s="23"/>
    </row>
    <row r="398" customFormat="false" ht="15" hidden="false" customHeight="false" outlineLevel="0" collapsed="false">
      <c r="A398" s="23"/>
      <c r="B398" s="23"/>
      <c r="C398" s="23"/>
      <c r="D398" s="23"/>
    </row>
    <row r="399" customFormat="false" ht="15" hidden="false" customHeight="false" outlineLevel="0" collapsed="false">
      <c r="A399" s="23"/>
      <c r="B399" s="23"/>
      <c r="C399" s="23"/>
      <c r="D399" s="23"/>
    </row>
    <row r="400" customFormat="false" ht="15" hidden="false" customHeight="false" outlineLevel="0" collapsed="false">
      <c r="A400" s="23"/>
      <c r="B400" s="23"/>
      <c r="C400" s="23"/>
      <c r="D400" s="23"/>
    </row>
    <row r="401" customFormat="false" ht="15" hidden="false" customHeight="false" outlineLevel="0" collapsed="false">
      <c r="A401" s="23"/>
      <c r="B401" s="23"/>
      <c r="C401" s="23"/>
      <c r="D401" s="23"/>
    </row>
    <row r="402" customFormat="false" ht="15" hidden="false" customHeight="false" outlineLevel="0" collapsed="false">
      <c r="A402" s="23"/>
      <c r="B402" s="23"/>
      <c r="C402" s="23"/>
      <c r="D402" s="23"/>
    </row>
    <row r="403" customFormat="false" ht="15" hidden="false" customHeight="false" outlineLevel="0" collapsed="false">
      <c r="A403" s="23"/>
      <c r="B403" s="23"/>
      <c r="C403" s="23"/>
      <c r="D403" s="23"/>
    </row>
    <row r="404" customFormat="false" ht="15" hidden="false" customHeight="false" outlineLevel="0" collapsed="false">
      <c r="A404" s="23"/>
      <c r="B404" s="23"/>
      <c r="C404" s="23"/>
      <c r="D404" s="23"/>
    </row>
    <row r="405" customFormat="false" ht="15" hidden="false" customHeight="false" outlineLevel="0" collapsed="false">
      <c r="A405" s="23"/>
      <c r="B405" s="23"/>
      <c r="C405" s="23"/>
      <c r="D405" s="23"/>
    </row>
    <row r="406" customFormat="false" ht="15" hidden="false" customHeight="false" outlineLevel="0" collapsed="false">
      <c r="A406" s="23"/>
      <c r="B406" s="23"/>
      <c r="C406" s="23"/>
      <c r="D406" s="23"/>
    </row>
    <row r="407" customFormat="false" ht="15" hidden="false" customHeight="false" outlineLevel="0" collapsed="false">
      <c r="A407" s="23"/>
      <c r="B407" s="23"/>
      <c r="C407" s="23"/>
      <c r="D407" s="23"/>
    </row>
    <row r="408" customFormat="false" ht="15" hidden="false" customHeight="false" outlineLevel="0" collapsed="false">
      <c r="A408" s="23"/>
      <c r="B408" s="23"/>
      <c r="C408" s="23"/>
      <c r="D408" s="23"/>
    </row>
    <row r="409" customFormat="false" ht="15" hidden="false" customHeight="false" outlineLevel="0" collapsed="false">
      <c r="A409" s="23"/>
      <c r="B409" s="23"/>
      <c r="C409" s="23"/>
      <c r="D409" s="23"/>
    </row>
    <row r="410" customFormat="false" ht="15" hidden="false" customHeight="false" outlineLevel="0" collapsed="false">
      <c r="A410" s="23"/>
      <c r="B410" s="23"/>
      <c r="C410" s="23"/>
      <c r="D410" s="23"/>
    </row>
    <row r="411" customFormat="false" ht="15" hidden="false" customHeight="false" outlineLevel="0" collapsed="false">
      <c r="A411" s="23"/>
      <c r="B411" s="23"/>
      <c r="C411" s="23"/>
      <c r="D411" s="23"/>
    </row>
    <row r="412" customFormat="false" ht="15" hidden="false" customHeight="false" outlineLevel="0" collapsed="false">
      <c r="A412" s="23"/>
      <c r="B412" s="23"/>
      <c r="C412" s="23"/>
      <c r="D412" s="23"/>
    </row>
    <row r="413" customFormat="false" ht="15" hidden="false" customHeight="false" outlineLevel="0" collapsed="false">
      <c r="A413" s="23"/>
      <c r="B413" s="23"/>
      <c r="C413" s="23"/>
      <c r="D413" s="23"/>
    </row>
    <row r="414" customFormat="false" ht="15" hidden="false" customHeight="false" outlineLevel="0" collapsed="false">
      <c r="A414" s="23"/>
      <c r="B414" s="23"/>
      <c r="C414" s="23"/>
      <c r="D414" s="23"/>
    </row>
    <row r="415" customFormat="false" ht="15" hidden="false" customHeight="false" outlineLevel="0" collapsed="false">
      <c r="A415" s="23"/>
      <c r="B415" s="23"/>
      <c r="C415" s="23"/>
      <c r="D415" s="23"/>
    </row>
    <row r="416" customFormat="false" ht="15" hidden="false" customHeight="false" outlineLevel="0" collapsed="false">
      <c r="A416" s="23"/>
      <c r="B416" s="23"/>
      <c r="C416" s="23"/>
      <c r="D416" s="23"/>
    </row>
    <row r="417" customFormat="false" ht="15" hidden="false" customHeight="false" outlineLevel="0" collapsed="false">
      <c r="A417" s="23"/>
      <c r="B417" s="23"/>
      <c r="C417" s="23"/>
      <c r="D417" s="23"/>
    </row>
    <row r="418" customFormat="false" ht="15" hidden="false" customHeight="false" outlineLevel="0" collapsed="false">
      <c r="A418" s="23"/>
      <c r="B418" s="23"/>
      <c r="C418" s="23"/>
      <c r="D418" s="23"/>
    </row>
    <row r="419" customFormat="false" ht="15" hidden="false" customHeight="false" outlineLevel="0" collapsed="false">
      <c r="A419" s="23"/>
      <c r="B419" s="23"/>
      <c r="C419" s="23"/>
      <c r="D419" s="23"/>
    </row>
    <row r="420" customFormat="false" ht="15" hidden="false" customHeight="false" outlineLevel="0" collapsed="false">
      <c r="A420" s="23"/>
      <c r="B420" s="23"/>
      <c r="C420" s="23"/>
      <c r="D420" s="23"/>
    </row>
    <row r="421" customFormat="false" ht="15" hidden="false" customHeight="false" outlineLevel="0" collapsed="false">
      <c r="A421" s="23"/>
      <c r="B421" s="23"/>
      <c r="C421" s="23"/>
      <c r="D421" s="23"/>
    </row>
    <row r="422" customFormat="false" ht="15" hidden="false" customHeight="false" outlineLevel="0" collapsed="false">
      <c r="A422" s="23"/>
      <c r="B422" s="23"/>
      <c r="C422" s="23"/>
      <c r="D422" s="23"/>
    </row>
    <row r="423" customFormat="false" ht="15" hidden="false" customHeight="false" outlineLevel="0" collapsed="false">
      <c r="A423" s="23"/>
      <c r="B423" s="23"/>
      <c r="C423" s="23"/>
      <c r="D423" s="23"/>
    </row>
    <row r="424" customFormat="false" ht="15" hidden="false" customHeight="false" outlineLevel="0" collapsed="false">
      <c r="A424" s="23"/>
      <c r="B424" s="23"/>
      <c r="C424" s="23"/>
      <c r="D424" s="23"/>
    </row>
    <row r="425" customFormat="false" ht="15" hidden="false" customHeight="false" outlineLevel="0" collapsed="false">
      <c r="A425" s="23"/>
      <c r="B425" s="23"/>
      <c r="C425" s="23"/>
      <c r="D425" s="23"/>
    </row>
    <row r="426" customFormat="false" ht="15" hidden="false" customHeight="false" outlineLevel="0" collapsed="false">
      <c r="A426" s="23"/>
      <c r="B426" s="23"/>
      <c r="C426" s="23"/>
      <c r="D426" s="23"/>
    </row>
    <row r="427" customFormat="false" ht="15" hidden="false" customHeight="false" outlineLevel="0" collapsed="false">
      <c r="A427" s="23"/>
      <c r="B427" s="23"/>
      <c r="C427" s="23"/>
      <c r="D427" s="23"/>
    </row>
    <row r="428" customFormat="false" ht="15" hidden="false" customHeight="false" outlineLevel="0" collapsed="false">
      <c r="A428" s="23"/>
      <c r="B428" s="23"/>
      <c r="C428" s="23"/>
      <c r="D428" s="23"/>
    </row>
    <row r="429" customFormat="false" ht="15" hidden="false" customHeight="false" outlineLevel="0" collapsed="false">
      <c r="A429" s="23"/>
      <c r="B429" s="23"/>
      <c r="C429" s="23"/>
      <c r="D429" s="23"/>
    </row>
    <row r="430" customFormat="false" ht="15" hidden="false" customHeight="false" outlineLevel="0" collapsed="false">
      <c r="A430" s="23"/>
      <c r="B430" s="23"/>
      <c r="C430" s="23"/>
      <c r="D430" s="23"/>
    </row>
    <row r="431" customFormat="false" ht="15" hidden="false" customHeight="false" outlineLevel="0" collapsed="false">
      <c r="A431" s="23"/>
      <c r="B431" s="23"/>
      <c r="C431" s="23"/>
      <c r="D431" s="23"/>
    </row>
    <row r="432" customFormat="false" ht="15" hidden="false" customHeight="false" outlineLevel="0" collapsed="false">
      <c r="A432" s="23"/>
      <c r="B432" s="23"/>
      <c r="C432" s="23"/>
      <c r="D432" s="23"/>
    </row>
    <row r="433" customFormat="false" ht="15" hidden="false" customHeight="false" outlineLevel="0" collapsed="false">
      <c r="A433" s="23"/>
      <c r="B433" s="23"/>
      <c r="C433" s="23"/>
      <c r="D433" s="23"/>
    </row>
    <row r="434" customFormat="false" ht="15" hidden="false" customHeight="false" outlineLevel="0" collapsed="false">
      <c r="A434" s="23"/>
      <c r="B434" s="23"/>
      <c r="C434" s="23"/>
      <c r="D434" s="23"/>
    </row>
    <row r="435" customFormat="false" ht="15" hidden="false" customHeight="false" outlineLevel="0" collapsed="false">
      <c r="A435" s="23"/>
      <c r="B435" s="23"/>
      <c r="C435" s="23"/>
      <c r="D435" s="23"/>
    </row>
    <row r="436" customFormat="false" ht="15" hidden="false" customHeight="false" outlineLevel="0" collapsed="false">
      <c r="A436" s="23"/>
      <c r="B436" s="23"/>
      <c r="C436" s="23"/>
      <c r="D436" s="23"/>
    </row>
    <row r="437" customFormat="false" ht="15" hidden="false" customHeight="false" outlineLevel="0" collapsed="false">
      <c r="A437" s="23"/>
      <c r="B437" s="23"/>
      <c r="C437" s="23"/>
      <c r="D437" s="23"/>
    </row>
    <row r="438" customFormat="false" ht="15" hidden="false" customHeight="false" outlineLevel="0" collapsed="false">
      <c r="A438" s="23"/>
      <c r="B438" s="23"/>
      <c r="C438" s="23"/>
      <c r="D438" s="23"/>
    </row>
    <row r="439" customFormat="false" ht="15" hidden="false" customHeight="false" outlineLevel="0" collapsed="false">
      <c r="A439" s="23"/>
      <c r="B439" s="23"/>
      <c r="C439" s="23"/>
      <c r="D439" s="23"/>
    </row>
    <row r="440" customFormat="false" ht="15" hidden="false" customHeight="false" outlineLevel="0" collapsed="false">
      <c r="A440" s="23"/>
      <c r="B440" s="23"/>
      <c r="C440" s="23"/>
      <c r="D440" s="23"/>
    </row>
    <row r="441" customFormat="false" ht="15" hidden="false" customHeight="false" outlineLevel="0" collapsed="false">
      <c r="A441" s="23"/>
      <c r="B441" s="23"/>
      <c r="C441" s="23"/>
      <c r="D441" s="23"/>
    </row>
    <row r="442" customFormat="false" ht="15" hidden="false" customHeight="false" outlineLevel="0" collapsed="false">
      <c r="A442" s="23"/>
      <c r="B442" s="23"/>
      <c r="C442" s="23"/>
      <c r="D442" s="23"/>
    </row>
    <row r="443" customFormat="false" ht="15" hidden="false" customHeight="false" outlineLevel="0" collapsed="false">
      <c r="A443" s="23"/>
      <c r="B443" s="23"/>
      <c r="C443" s="23"/>
      <c r="D443" s="23"/>
    </row>
    <row r="444" customFormat="false" ht="15" hidden="false" customHeight="false" outlineLevel="0" collapsed="false">
      <c r="A444" s="23"/>
      <c r="B444" s="23"/>
      <c r="C444" s="23"/>
      <c r="D444" s="23"/>
    </row>
    <row r="445" customFormat="false" ht="15" hidden="false" customHeight="false" outlineLevel="0" collapsed="false">
      <c r="A445" s="23"/>
      <c r="B445" s="23"/>
      <c r="C445" s="23"/>
      <c r="D445" s="23"/>
    </row>
    <row r="446" customFormat="false" ht="15" hidden="false" customHeight="false" outlineLevel="0" collapsed="false">
      <c r="A446" s="23"/>
      <c r="B446" s="23"/>
      <c r="C446" s="23"/>
      <c r="D446" s="23"/>
    </row>
    <row r="447" customFormat="false" ht="15" hidden="false" customHeight="false" outlineLevel="0" collapsed="false">
      <c r="A447" s="23"/>
      <c r="B447" s="23"/>
      <c r="C447" s="23"/>
      <c r="D447" s="23"/>
    </row>
    <row r="448" customFormat="false" ht="15" hidden="false" customHeight="false" outlineLevel="0" collapsed="false">
      <c r="A448" s="23"/>
      <c r="B448" s="23"/>
      <c r="C448" s="23"/>
      <c r="D448" s="23"/>
    </row>
    <row r="449" customFormat="false" ht="15" hidden="false" customHeight="false" outlineLevel="0" collapsed="false">
      <c r="A449" s="23"/>
      <c r="B449" s="23"/>
      <c r="C449" s="23"/>
      <c r="D449" s="23"/>
    </row>
    <row r="450" customFormat="false" ht="15" hidden="false" customHeight="false" outlineLevel="0" collapsed="false">
      <c r="A450" s="23"/>
      <c r="B450" s="23"/>
      <c r="C450" s="23"/>
      <c r="D450" s="23"/>
    </row>
    <row r="451" customFormat="false" ht="15" hidden="false" customHeight="false" outlineLevel="0" collapsed="false">
      <c r="A451" s="23"/>
      <c r="B451" s="23"/>
      <c r="C451" s="23"/>
      <c r="D451" s="23"/>
    </row>
    <row r="452" customFormat="false" ht="15" hidden="false" customHeight="false" outlineLevel="0" collapsed="false">
      <c r="A452" s="23"/>
      <c r="B452" s="23"/>
      <c r="C452" s="23"/>
      <c r="D452" s="23"/>
    </row>
    <row r="453" customFormat="false" ht="15" hidden="false" customHeight="false" outlineLevel="0" collapsed="false">
      <c r="A453" s="23"/>
      <c r="B453" s="23"/>
      <c r="C453" s="23"/>
      <c r="D453" s="23"/>
    </row>
    <row r="454" customFormat="false" ht="15" hidden="false" customHeight="false" outlineLevel="0" collapsed="false">
      <c r="A454" s="23"/>
      <c r="B454" s="23"/>
      <c r="C454" s="23"/>
      <c r="D454" s="23"/>
    </row>
    <row r="455" customFormat="false" ht="15" hidden="false" customHeight="false" outlineLevel="0" collapsed="false">
      <c r="A455" s="23"/>
      <c r="B455" s="23"/>
      <c r="C455" s="23"/>
      <c r="D455" s="23"/>
    </row>
    <row r="456" customFormat="false" ht="15" hidden="false" customHeight="false" outlineLevel="0" collapsed="false">
      <c r="A456" s="23"/>
      <c r="B456" s="23"/>
      <c r="C456" s="23"/>
      <c r="D456" s="23"/>
    </row>
    <row r="457" customFormat="false" ht="15" hidden="false" customHeight="false" outlineLevel="0" collapsed="false">
      <c r="A457" s="23"/>
      <c r="B457" s="23"/>
      <c r="C457" s="23"/>
      <c r="D457" s="23"/>
    </row>
    <row r="458" customFormat="false" ht="15" hidden="false" customHeight="false" outlineLevel="0" collapsed="false">
      <c r="A458" s="23"/>
      <c r="B458" s="23"/>
      <c r="C458" s="23"/>
      <c r="D458" s="23"/>
    </row>
    <row r="459" customFormat="false" ht="15" hidden="false" customHeight="false" outlineLevel="0" collapsed="false">
      <c r="A459" s="23"/>
      <c r="B459" s="23"/>
      <c r="C459" s="23"/>
      <c r="D459" s="23"/>
    </row>
    <row r="460" customFormat="false" ht="15" hidden="false" customHeight="false" outlineLevel="0" collapsed="false">
      <c r="A460" s="23"/>
      <c r="B460" s="23"/>
      <c r="C460" s="23"/>
      <c r="D460" s="23"/>
    </row>
    <row r="461" customFormat="false" ht="15" hidden="false" customHeight="false" outlineLevel="0" collapsed="false">
      <c r="A461" s="23"/>
      <c r="B461" s="23"/>
      <c r="C461" s="23"/>
      <c r="D461" s="23"/>
    </row>
    <row r="462" customFormat="false" ht="15" hidden="false" customHeight="false" outlineLevel="0" collapsed="false">
      <c r="A462" s="23"/>
      <c r="B462" s="23"/>
      <c r="C462" s="23"/>
      <c r="D462" s="23"/>
    </row>
    <row r="463" customFormat="false" ht="15" hidden="false" customHeight="false" outlineLevel="0" collapsed="false">
      <c r="A463" s="23"/>
      <c r="B463" s="23"/>
      <c r="C463" s="23"/>
      <c r="D463" s="23"/>
    </row>
    <row r="464" customFormat="false" ht="15" hidden="false" customHeight="false" outlineLevel="0" collapsed="false">
      <c r="A464" s="23"/>
      <c r="B464" s="23"/>
      <c r="C464" s="23"/>
      <c r="D464" s="23"/>
    </row>
    <row r="465" customFormat="false" ht="15" hidden="false" customHeight="false" outlineLevel="0" collapsed="false">
      <c r="A465" s="23"/>
      <c r="B465" s="23"/>
      <c r="C465" s="23"/>
      <c r="D465" s="23"/>
    </row>
    <row r="466" customFormat="false" ht="15" hidden="false" customHeight="false" outlineLevel="0" collapsed="false">
      <c r="A466" s="23"/>
      <c r="B466" s="23"/>
      <c r="C466" s="23"/>
      <c r="D466" s="23"/>
    </row>
    <row r="467" customFormat="false" ht="15" hidden="false" customHeight="false" outlineLevel="0" collapsed="false">
      <c r="A467" s="23"/>
      <c r="B467" s="23"/>
      <c r="C467" s="23"/>
      <c r="D467" s="23"/>
    </row>
    <row r="468" customFormat="false" ht="15" hidden="false" customHeight="false" outlineLevel="0" collapsed="false">
      <c r="A468" s="23"/>
      <c r="B468" s="23"/>
      <c r="C468" s="23"/>
      <c r="D468" s="23"/>
    </row>
    <row r="469" customFormat="false" ht="15" hidden="false" customHeight="false" outlineLevel="0" collapsed="false">
      <c r="A469" s="23"/>
      <c r="B469" s="23"/>
      <c r="C469" s="23"/>
      <c r="D469" s="23"/>
    </row>
    <row r="470" customFormat="false" ht="15" hidden="false" customHeight="false" outlineLevel="0" collapsed="false">
      <c r="A470" s="23"/>
      <c r="B470" s="23"/>
      <c r="C470" s="23"/>
      <c r="D470" s="23"/>
    </row>
    <row r="471" customFormat="false" ht="15" hidden="false" customHeight="false" outlineLevel="0" collapsed="false">
      <c r="A471" s="23"/>
      <c r="B471" s="23"/>
      <c r="C471" s="23"/>
      <c r="D471" s="23"/>
    </row>
    <row r="472" customFormat="false" ht="15" hidden="false" customHeight="false" outlineLevel="0" collapsed="false">
      <c r="A472" s="23"/>
      <c r="B472" s="23"/>
      <c r="C472" s="23"/>
      <c r="D472" s="23"/>
    </row>
    <row r="473" customFormat="false" ht="15" hidden="false" customHeight="false" outlineLevel="0" collapsed="false">
      <c r="A473" s="23"/>
      <c r="B473" s="23"/>
      <c r="C473" s="23"/>
      <c r="D473" s="23"/>
    </row>
    <row r="474" customFormat="false" ht="15" hidden="false" customHeight="false" outlineLevel="0" collapsed="false">
      <c r="A474" s="23"/>
      <c r="B474" s="23"/>
      <c r="C474" s="23"/>
      <c r="D474" s="23"/>
    </row>
    <row r="475" customFormat="false" ht="15" hidden="false" customHeight="false" outlineLevel="0" collapsed="false">
      <c r="A475" s="23"/>
      <c r="B475" s="23"/>
      <c r="C475" s="23"/>
      <c r="D475" s="23"/>
    </row>
    <row r="476" customFormat="false" ht="15" hidden="false" customHeight="false" outlineLevel="0" collapsed="false">
      <c r="A476" s="23"/>
      <c r="B476" s="23"/>
      <c r="C476" s="23"/>
      <c r="D476" s="23"/>
    </row>
    <row r="477" customFormat="false" ht="15" hidden="false" customHeight="false" outlineLevel="0" collapsed="false">
      <c r="A477" s="23"/>
      <c r="B477" s="23"/>
      <c r="C477" s="23"/>
      <c r="D477" s="23"/>
    </row>
    <row r="478" customFormat="false" ht="15" hidden="false" customHeight="false" outlineLevel="0" collapsed="false">
      <c r="A478" s="23"/>
      <c r="B478" s="23"/>
      <c r="C478" s="23"/>
      <c r="D478" s="23"/>
    </row>
    <row r="479" customFormat="false" ht="15" hidden="false" customHeight="false" outlineLevel="0" collapsed="false">
      <c r="A479" s="23"/>
      <c r="B479" s="23"/>
      <c r="C479" s="23"/>
      <c r="D479" s="23"/>
    </row>
    <row r="480" customFormat="false" ht="15" hidden="false" customHeight="false" outlineLevel="0" collapsed="false">
      <c r="A480" s="23"/>
      <c r="B480" s="23"/>
      <c r="C480" s="23"/>
      <c r="D480" s="23"/>
    </row>
    <row r="481" customFormat="false" ht="15" hidden="false" customHeight="false" outlineLevel="0" collapsed="false">
      <c r="A481" s="23"/>
      <c r="B481" s="23"/>
      <c r="C481" s="23"/>
      <c r="D481" s="23"/>
    </row>
    <row r="482" customFormat="false" ht="15" hidden="false" customHeight="false" outlineLevel="0" collapsed="false">
      <c r="A482" s="23"/>
      <c r="B482" s="23"/>
      <c r="C482" s="23"/>
      <c r="D482" s="23"/>
    </row>
    <row r="483" customFormat="false" ht="15" hidden="false" customHeight="false" outlineLevel="0" collapsed="false">
      <c r="A483" s="23"/>
      <c r="B483" s="23"/>
      <c r="C483" s="23"/>
      <c r="D483" s="23"/>
    </row>
    <row r="484" customFormat="false" ht="15" hidden="false" customHeight="false" outlineLevel="0" collapsed="false">
      <c r="A484" s="23"/>
      <c r="B484" s="23"/>
      <c r="C484" s="23"/>
      <c r="D484" s="23"/>
    </row>
    <row r="485" customFormat="false" ht="15" hidden="false" customHeight="false" outlineLevel="0" collapsed="false">
      <c r="A485" s="23"/>
      <c r="B485" s="23"/>
      <c r="C485" s="23"/>
      <c r="D485" s="23"/>
    </row>
    <row r="486" customFormat="false" ht="15" hidden="false" customHeight="false" outlineLevel="0" collapsed="false">
      <c r="A486" s="23"/>
      <c r="B486" s="23"/>
      <c r="C486" s="23"/>
      <c r="D486" s="23"/>
    </row>
    <row r="487" customFormat="false" ht="15" hidden="false" customHeight="false" outlineLevel="0" collapsed="false">
      <c r="A487" s="23"/>
      <c r="B487" s="23"/>
      <c r="C487" s="23"/>
      <c r="D487" s="23"/>
    </row>
    <row r="488" customFormat="false" ht="15" hidden="false" customHeight="false" outlineLevel="0" collapsed="false">
      <c r="A488" s="23"/>
      <c r="B488" s="23"/>
      <c r="C488" s="23"/>
      <c r="D488" s="23"/>
    </row>
    <row r="489" customFormat="false" ht="15" hidden="false" customHeight="false" outlineLevel="0" collapsed="false">
      <c r="A489" s="23"/>
      <c r="B489" s="23"/>
      <c r="C489" s="23"/>
      <c r="D489" s="23"/>
    </row>
    <row r="490" customFormat="false" ht="15" hidden="false" customHeight="false" outlineLevel="0" collapsed="false">
      <c r="A490" s="23"/>
      <c r="B490" s="23"/>
      <c r="C490" s="23"/>
      <c r="D490" s="23"/>
    </row>
    <row r="491" customFormat="false" ht="15" hidden="false" customHeight="false" outlineLevel="0" collapsed="false">
      <c r="A491" s="23"/>
      <c r="B491" s="23"/>
      <c r="C491" s="23"/>
      <c r="D491" s="23"/>
    </row>
    <row r="492" customFormat="false" ht="15" hidden="false" customHeight="false" outlineLevel="0" collapsed="false">
      <c r="A492" s="23"/>
      <c r="B492" s="23"/>
      <c r="C492" s="23"/>
      <c r="D492" s="23"/>
    </row>
    <row r="493" customFormat="false" ht="15" hidden="false" customHeight="false" outlineLevel="0" collapsed="false">
      <c r="A493" s="23"/>
      <c r="B493" s="23"/>
      <c r="C493" s="23"/>
      <c r="D493" s="23"/>
    </row>
    <row r="494" customFormat="false" ht="15" hidden="false" customHeight="false" outlineLevel="0" collapsed="false">
      <c r="A494" s="23"/>
      <c r="B494" s="23"/>
      <c r="C494" s="23"/>
      <c r="D494" s="23"/>
    </row>
    <row r="495" customFormat="false" ht="15" hidden="false" customHeight="false" outlineLevel="0" collapsed="false">
      <c r="A495" s="23"/>
      <c r="B495" s="23"/>
      <c r="C495" s="23"/>
      <c r="D495" s="23"/>
    </row>
    <row r="496" customFormat="false" ht="15" hidden="false" customHeight="false" outlineLevel="0" collapsed="false">
      <c r="A496" s="23"/>
      <c r="B496" s="23"/>
      <c r="C496" s="23"/>
      <c r="D496" s="23"/>
    </row>
    <row r="497" customFormat="false" ht="15" hidden="false" customHeight="false" outlineLevel="0" collapsed="false">
      <c r="A497" s="23"/>
      <c r="B497" s="23"/>
      <c r="C497" s="23"/>
      <c r="D497" s="23"/>
    </row>
    <row r="498" customFormat="false" ht="15" hidden="false" customHeight="false" outlineLevel="0" collapsed="false">
      <c r="A498" s="23"/>
      <c r="B498" s="23"/>
      <c r="C498" s="23"/>
      <c r="D498" s="23"/>
    </row>
    <row r="499" customFormat="false" ht="15" hidden="false" customHeight="false" outlineLevel="0" collapsed="false">
      <c r="A499" s="23"/>
      <c r="B499" s="23"/>
      <c r="C499" s="23"/>
      <c r="D499" s="23"/>
    </row>
    <row r="500" customFormat="false" ht="15" hidden="false" customHeight="false" outlineLevel="0" collapsed="false">
      <c r="A500" s="23"/>
      <c r="B500" s="23"/>
      <c r="C500" s="23"/>
      <c r="D500" s="23"/>
    </row>
    <row r="501" customFormat="false" ht="15" hidden="false" customHeight="false" outlineLevel="0" collapsed="false">
      <c r="A501" s="23"/>
      <c r="B501" s="23"/>
      <c r="C501" s="23"/>
      <c r="D501" s="23"/>
    </row>
    <row r="502" customFormat="false" ht="15" hidden="false" customHeight="false" outlineLevel="0" collapsed="false">
      <c r="A502" s="23"/>
      <c r="B502" s="23"/>
      <c r="C502" s="23"/>
      <c r="D502" s="23"/>
    </row>
    <row r="503" customFormat="false" ht="15" hidden="false" customHeight="false" outlineLevel="0" collapsed="false">
      <c r="A503" s="23"/>
      <c r="B503" s="23"/>
      <c r="C503" s="23"/>
      <c r="D503" s="23"/>
    </row>
    <row r="504" customFormat="false" ht="15" hidden="false" customHeight="false" outlineLevel="0" collapsed="false">
      <c r="A504" s="23"/>
      <c r="B504" s="23"/>
      <c r="C504" s="23"/>
      <c r="D504" s="23"/>
    </row>
    <row r="505" customFormat="false" ht="15" hidden="false" customHeight="false" outlineLevel="0" collapsed="false">
      <c r="A505" s="23"/>
      <c r="B505" s="23"/>
      <c r="C505" s="23"/>
      <c r="D505" s="23"/>
    </row>
    <row r="506" customFormat="false" ht="15" hidden="false" customHeight="false" outlineLevel="0" collapsed="false">
      <c r="A506" s="23"/>
      <c r="B506" s="23"/>
      <c r="C506" s="23"/>
      <c r="D506" s="23"/>
    </row>
    <row r="507" customFormat="false" ht="15" hidden="false" customHeight="false" outlineLevel="0" collapsed="false">
      <c r="A507" s="23"/>
      <c r="B507" s="23"/>
      <c r="C507" s="23"/>
      <c r="D507" s="23"/>
    </row>
    <row r="508" customFormat="false" ht="15" hidden="false" customHeight="false" outlineLevel="0" collapsed="false">
      <c r="A508" s="23"/>
      <c r="B508" s="23"/>
      <c r="C508" s="23"/>
      <c r="D508" s="23"/>
    </row>
    <row r="509" customFormat="false" ht="15" hidden="false" customHeight="false" outlineLevel="0" collapsed="false">
      <c r="A509" s="23"/>
      <c r="B509" s="23"/>
      <c r="C509" s="23"/>
      <c r="D509" s="23"/>
    </row>
    <row r="510" customFormat="false" ht="15" hidden="false" customHeight="false" outlineLevel="0" collapsed="false">
      <c r="A510" s="23"/>
      <c r="B510" s="23"/>
      <c r="C510" s="23"/>
      <c r="D510" s="23"/>
    </row>
    <row r="511" customFormat="false" ht="15" hidden="false" customHeight="false" outlineLevel="0" collapsed="false">
      <c r="A511" s="23"/>
      <c r="B511" s="23"/>
      <c r="C511" s="23"/>
      <c r="D511" s="23"/>
    </row>
    <row r="512" customFormat="false" ht="15" hidden="false" customHeight="false" outlineLevel="0" collapsed="false">
      <c r="A512" s="23"/>
      <c r="B512" s="23"/>
      <c r="C512" s="23"/>
      <c r="D512" s="23"/>
    </row>
    <row r="513" customFormat="false" ht="15" hidden="false" customHeight="false" outlineLevel="0" collapsed="false">
      <c r="A513" s="23"/>
      <c r="B513" s="23"/>
      <c r="C513" s="23"/>
      <c r="D513" s="23"/>
    </row>
    <row r="514" customFormat="false" ht="15" hidden="false" customHeight="false" outlineLevel="0" collapsed="false">
      <c r="A514" s="23"/>
      <c r="B514" s="23"/>
      <c r="C514" s="23"/>
      <c r="D514" s="23"/>
    </row>
    <row r="515" customFormat="false" ht="15" hidden="false" customHeight="false" outlineLevel="0" collapsed="false">
      <c r="A515" s="23"/>
      <c r="B515" s="23"/>
      <c r="C515" s="23"/>
      <c r="D515" s="23"/>
    </row>
    <row r="516" customFormat="false" ht="15" hidden="false" customHeight="false" outlineLevel="0" collapsed="false">
      <c r="A516" s="23"/>
      <c r="B516" s="23"/>
      <c r="C516" s="23"/>
      <c r="D516" s="23"/>
    </row>
    <row r="517" customFormat="false" ht="15" hidden="false" customHeight="false" outlineLevel="0" collapsed="false">
      <c r="A517" s="23"/>
      <c r="B517" s="23"/>
      <c r="C517" s="23"/>
      <c r="D517" s="23"/>
    </row>
    <row r="518" customFormat="false" ht="15" hidden="false" customHeight="false" outlineLevel="0" collapsed="false">
      <c r="A518" s="23"/>
      <c r="B518" s="23"/>
      <c r="C518" s="23"/>
      <c r="D518" s="23"/>
    </row>
    <row r="519" customFormat="false" ht="15" hidden="false" customHeight="false" outlineLevel="0" collapsed="false">
      <c r="A519" s="23"/>
      <c r="B519" s="23"/>
      <c r="C519" s="23"/>
      <c r="D519" s="23"/>
    </row>
    <row r="520" customFormat="false" ht="15" hidden="false" customHeight="false" outlineLevel="0" collapsed="false">
      <c r="A520" s="23"/>
      <c r="B520" s="23"/>
      <c r="C520" s="23"/>
      <c r="D520" s="23"/>
    </row>
    <row r="521" customFormat="false" ht="15" hidden="false" customHeight="false" outlineLevel="0" collapsed="false">
      <c r="A521" s="23"/>
      <c r="B521" s="23"/>
      <c r="C521" s="23"/>
      <c r="D521" s="23"/>
    </row>
    <row r="522" customFormat="false" ht="15" hidden="false" customHeight="false" outlineLevel="0" collapsed="false">
      <c r="A522" s="23"/>
      <c r="B522" s="23"/>
      <c r="C522" s="23"/>
      <c r="D522" s="23"/>
    </row>
    <row r="523" customFormat="false" ht="15" hidden="false" customHeight="false" outlineLevel="0" collapsed="false">
      <c r="A523" s="23"/>
      <c r="B523" s="23"/>
      <c r="C523" s="23"/>
      <c r="D523" s="23"/>
    </row>
    <row r="524" customFormat="false" ht="15" hidden="false" customHeight="false" outlineLevel="0" collapsed="false">
      <c r="A524" s="23"/>
      <c r="B524" s="23"/>
      <c r="C524" s="23"/>
      <c r="D524" s="23"/>
    </row>
    <row r="525" customFormat="false" ht="15" hidden="false" customHeight="false" outlineLevel="0" collapsed="false">
      <c r="A525" s="23"/>
      <c r="B525" s="23"/>
      <c r="C525" s="23"/>
      <c r="D525" s="23"/>
    </row>
    <row r="526" customFormat="false" ht="15" hidden="false" customHeight="false" outlineLevel="0" collapsed="false">
      <c r="A526" s="23"/>
      <c r="B526" s="23"/>
      <c r="C526" s="23"/>
      <c r="D526" s="23"/>
    </row>
    <row r="527" customFormat="false" ht="15" hidden="false" customHeight="false" outlineLevel="0" collapsed="false">
      <c r="A527" s="23"/>
      <c r="B527" s="23"/>
      <c r="C527" s="23"/>
      <c r="D527" s="23"/>
    </row>
    <row r="528" customFormat="false" ht="15" hidden="false" customHeight="false" outlineLevel="0" collapsed="false">
      <c r="A528" s="23"/>
      <c r="B528" s="23"/>
      <c r="C528" s="23"/>
      <c r="D528" s="23"/>
    </row>
    <row r="529" customFormat="false" ht="15" hidden="false" customHeight="false" outlineLevel="0" collapsed="false">
      <c r="A529" s="23"/>
      <c r="B529" s="23"/>
      <c r="C529" s="23"/>
      <c r="D529" s="23"/>
    </row>
    <row r="530" customFormat="false" ht="15" hidden="false" customHeight="false" outlineLevel="0" collapsed="false">
      <c r="A530" s="23"/>
      <c r="B530" s="23"/>
      <c r="C530" s="23"/>
      <c r="D530" s="23"/>
    </row>
    <row r="531" customFormat="false" ht="15" hidden="false" customHeight="false" outlineLevel="0" collapsed="false">
      <c r="A531" s="23"/>
      <c r="B531" s="23"/>
      <c r="C531" s="23"/>
      <c r="D531" s="23"/>
    </row>
    <row r="532" customFormat="false" ht="15" hidden="false" customHeight="false" outlineLevel="0" collapsed="false">
      <c r="A532" s="23"/>
      <c r="B532" s="23"/>
      <c r="C532" s="23"/>
      <c r="D532" s="23"/>
    </row>
    <row r="533" customFormat="false" ht="15" hidden="false" customHeight="false" outlineLevel="0" collapsed="false">
      <c r="A533" s="23"/>
      <c r="B533" s="23"/>
      <c r="C533" s="23"/>
      <c r="D533" s="23"/>
    </row>
    <row r="534" customFormat="false" ht="15" hidden="false" customHeight="false" outlineLevel="0" collapsed="false">
      <c r="A534" s="23"/>
      <c r="B534" s="23"/>
      <c r="C534" s="23"/>
      <c r="D534" s="23"/>
    </row>
    <row r="535" customFormat="false" ht="15" hidden="false" customHeight="false" outlineLevel="0" collapsed="false">
      <c r="A535" s="23"/>
      <c r="B535" s="23"/>
      <c r="C535" s="23"/>
      <c r="D535" s="23"/>
    </row>
    <row r="536" customFormat="false" ht="15" hidden="false" customHeight="false" outlineLevel="0" collapsed="false">
      <c r="A536" s="23"/>
      <c r="B536" s="23"/>
      <c r="C536" s="23"/>
      <c r="D536" s="23"/>
    </row>
    <row r="537" customFormat="false" ht="15" hidden="false" customHeight="false" outlineLevel="0" collapsed="false">
      <c r="A537" s="23"/>
      <c r="B537" s="23"/>
      <c r="C537" s="23"/>
      <c r="D537" s="23"/>
    </row>
    <row r="538" customFormat="false" ht="15" hidden="false" customHeight="false" outlineLevel="0" collapsed="false">
      <c r="A538" s="23"/>
      <c r="B538" s="23"/>
      <c r="C538" s="23"/>
      <c r="D538" s="23"/>
    </row>
    <row r="539" customFormat="false" ht="15" hidden="false" customHeight="false" outlineLevel="0" collapsed="false">
      <c r="A539" s="23"/>
      <c r="B539" s="23"/>
      <c r="C539" s="23"/>
      <c r="D539" s="23"/>
    </row>
    <row r="540" customFormat="false" ht="15" hidden="false" customHeight="false" outlineLevel="0" collapsed="false">
      <c r="A540" s="23"/>
      <c r="B540" s="23"/>
      <c r="C540" s="23"/>
      <c r="D540" s="23"/>
    </row>
    <row r="541" customFormat="false" ht="15" hidden="false" customHeight="false" outlineLevel="0" collapsed="false">
      <c r="A541" s="23"/>
      <c r="B541" s="23"/>
      <c r="C541" s="23"/>
      <c r="D541" s="23"/>
    </row>
    <row r="542" customFormat="false" ht="15" hidden="false" customHeight="false" outlineLevel="0" collapsed="false">
      <c r="A542" s="23"/>
      <c r="B542" s="23"/>
      <c r="C542" s="23"/>
      <c r="D542" s="23"/>
    </row>
    <row r="543" customFormat="false" ht="15" hidden="false" customHeight="false" outlineLevel="0" collapsed="false">
      <c r="A543" s="23"/>
      <c r="B543" s="23"/>
      <c r="C543" s="23"/>
      <c r="D543" s="23"/>
    </row>
    <row r="544" customFormat="false" ht="15" hidden="false" customHeight="false" outlineLevel="0" collapsed="false">
      <c r="A544" s="23"/>
      <c r="B544" s="23"/>
      <c r="C544" s="23"/>
      <c r="D544" s="23"/>
    </row>
    <row r="545" customFormat="false" ht="15" hidden="false" customHeight="false" outlineLevel="0" collapsed="false">
      <c r="A545" s="23"/>
      <c r="B545" s="23"/>
      <c r="C545" s="23"/>
      <c r="D545" s="23"/>
    </row>
    <row r="546" customFormat="false" ht="15" hidden="false" customHeight="false" outlineLevel="0" collapsed="false">
      <c r="A546" s="23"/>
      <c r="B546" s="23"/>
      <c r="C546" s="23"/>
      <c r="D546" s="23"/>
    </row>
    <row r="547" customFormat="false" ht="15" hidden="false" customHeight="false" outlineLevel="0" collapsed="false">
      <c r="A547" s="23"/>
      <c r="B547" s="23"/>
      <c r="C547" s="23"/>
      <c r="D547" s="23"/>
    </row>
    <row r="548" customFormat="false" ht="15" hidden="false" customHeight="false" outlineLevel="0" collapsed="false">
      <c r="A548" s="23"/>
      <c r="B548" s="23"/>
      <c r="C548" s="23"/>
      <c r="D548" s="23"/>
    </row>
    <row r="549" customFormat="false" ht="15" hidden="false" customHeight="false" outlineLevel="0" collapsed="false">
      <c r="A549" s="23"/>
      <c r="B549" s="23"/>
      <c r="C549" s="23"/>
      <c r="D549" s="23"/>
    </row>
    <row r="550" customFormat="false" ht="15" hidden="false" customHeight="false" outlineLevel="0" collapsed="false">
      <c r="A550" s="23"/>
      <c r="B550" s="23"/>
      <c r="C550" s="23"/>
      <c r="D550" s="23"/>
    </row>
    <row r="551" customFormat="false" ht="15" hidden="false" customHeight="false" outlineLevel="0" collapsed="false">
      <c r="A551" s="23"/>
      <c r="B551" s="23"/>
      <c r="C551" s="23"/>
      <c r="D551" s="23"/>
    </row>
    <row r="552" customFormat="false" ht="15" hidden="false" customHeight="false" outlineLevel="0" collapsed="false">
      <c r="A552" s="23"/>
      <c r="B552" s="23"/>
      <c r="C552" s="23"/>
      <c r="D552" s="23"/>
    </row>
    <row r="553" customFormat="false" ht="15" hidden="false" customHeight="false" outlineLevel="0" collapsed="false">
      <c r="A553" s="23"/>
      <c r="B553" s="23"/>
      <c r="C553" s="23"/>
      <c r="D553" s="23"/>
    </row>
    <row r="554" customFormat="false" ht="15" hidden="false" customHeight="false" outlineLevel="0" collapsed="false">
      <c r="A554" s="23"/>
      <c r="B554" s="23"/>
      <c r="C554" s="23"/>
      <c r="D554" s="23"/>
    </row>
    <row r="555" customFormat="false" ht="15" hidden="false" customHeight="false" outlineLevel="0" collapsed="false">
      <c r="A555" s="23"/>
      <c r="B555" s="23"/>
      <c r="C555" s="23"/>
      <c r="D555" s="23"/>
    </row>
    <row r="556" customFormat="false" ht="15" hidden="false" customHeight="false" outlineLevel="0" collapsed="false">
      <c r="A556" s="23"/>
      <c r="B556" s="23"/>
      <c r="C556" s="23"/>
      <c r="D556" s="23"/>
    </row>
    <row r="557" customFormat="false" ht="15" hidden="false" customHeight="false" outlineLevel="0" collapsed="false">
      <c r="A557" s="23"/>
      <c r="B557" s="23"/>
      <c r="C557" s="23"/>
      <c r="D557" s="23"/>
    </row>
    <row r="558" customFormat="false" ht="15" hidden="false" customHeight="false" outlineLevel="0" collapsed="false">
      <c r="A558" s="23"/>
      <c r="B558" s="23"/>
      <c r="C558" s="23"/>
      <c r="D558" s="23"/>
    </row>
    <row r="559" customFormat="false" ht="15" hidden="false" customHeight="false" outlineLevel="0" collapsed="false">
      <c r="A559" s="23"/>
      <c r="B559" s="23"/>
      <c r="C559" s="23"/>
      <c r="D559" s="23"/>
    </row>
    <row r="560" customFormat="false" ht="15" hidden="false" customHeight="false" outlineLevel="0" collapsed="false">
      <c r="A560" s="23"/>
      <c r="B560" s="23"/>
      <c r="C560" s="23"/>
      <c r="D560" s="23"/>
    </row>
    <row r="561" customFormat="false" ht="15" hidden="false" customHeight="false" outlineLevel="0" collapsed="false">
      <c r="A561" s="23"/>
      <c r="B561" s="23"/>
      <c r="C561" s="23"/>
      <c r="D561" s="23"/>
    </row>
    <row r="562" customFormat="false" ht="15" hidden="false" customHeight="false" outlineLevel="0" collapsed="false">
      <c r="A562" s="23"/>
      <c r="B562" s="23"/>
      <c r="C562" s="23"/>
      <c r="D562" s="23"/>
    </row>
    <row r="563" customFormat="false" ht="15" hidden="false" customHeight="false" outlineLevel="0" collapsed="false">
      <c r="A563" s="23"/>
      <c r="B563" s="23"/>
      <c r="C563" s="23"/>
      <c r="D563" s="23"/>
    </row>
    <row r="564" customFormat="false" ht="15" hidden="false" customHeight="false" outlineLevel="0" collapsed="false">
      <c r="A564" s="23"/>
      <c r="B564" s="23"/>
      <c r="C564" s="23"/>
      <c r="D564" s="23"/>
    </row>
    <row r="565" customFormat="false" ht="15" hidden="false" customHeight="false" outlineLevel="0" collapsed="false">
      <c r="A565" s="23"/>
      <c r="B565" s="23"/>
      <c r="C565" s="23"/>
      <c r="D565" s="23"/>
    </row>
    <row r="566" customFormat="false" ht="15" hidden="false" customHeight="false" outlineLevel="0" collapsed="false">
      <c r="A566" s="23"/>
      <c r="B566" s="23"/>
      <c r="C566" s="23"/>
      <c r="D566" s="23"/>
    </row>
    <row r="567" customFormat="false" ht="15" hidden="false" customHeight="false" outlineLevel="0" collapsed="false">
      <c r="A567" s="23"/>
      <c r="B567" s="23"/>
      <c r="C567" s="23"/>
      <c r="D567" s="23"/>
    </row>
    <row r="568" customFormat="false" ht="15" hidden="false" customHeight="false" outlineLevel="0" collapsed="false">
      <c r="A568" s="23"/>
      <c r="B568" s="23"/>
      <c r="C568" s="23"/>
      <c r="D568" s="23"/>
    </row>
    <row r="569" customFormat="false" ht="15" hidden="false" customHeight="false" outlineLevel="0" collapsed="false">
      <c r="A569" s="23"/>
      <c r="B569" s="23"/>
      <c r="C569" s="23"/>
      <c r="D569" s="23"/>
    </row>
    <row r="570" customFormat="false" ht="15" hidden="false" customHeight="false" outlineLevel="0" collapsed="false">
      <c r="A570" s="23"/>
      <c r="B570" s="23"/>
      <c r="C570" s="23"/>
      <c r="D570" s="23"/>
    </row>
    <row r="571" customFormat="false" ht="15" hidden="false" customHeight="false" outlineLevel="0" collapsed="false">
      <c r="A571" s="23"/>
      <c r="B571" s="23"/>
      <c r="C571" s="23"/>
      <c r="D571" s="23"/>
    </row>
    <row r="572" customFormat="false" ht="15" hidden="false" customHeight="false" outlineLevel="0" collapsed="false">
      <c r="A572" s="23"/>
      <c r="B572" s="23"/>
      <c r="C572" s="23"/>
      <c r="D572" s="23"/>
    </row>
    <row r="573" customFormat="false" ht="15" hidden="false" customHeight="false" outlineLevel="0" collapsed="false">
      <c r="A573" s="23"/>
      <c r="B573" s="23"/>
      <c r="C573" s="23"/>
      <c r="D573" s="23"/>
    </row>
    <row r="574" customFormat="false" ht="15" hidden="false" customHeight="false" outlineLevel="0" collapsed="false">
      <c r="A574" s="23"/>
      <c r="B574" s="23"/>
      <c r="C574" s="23"/>
      <c r="D574" s="23"/>
    </row>
    <row r="575" customFormat="false" ht="15" hidden="false" customHeight="false" outlineLevel="0" collapsed="false">
      <c r="A575" s="23"/>
      <c r="B575" s="23"/>
      <c r="C575" s="23"/>
      <c r="D575" s="23"/>
    </row>
    <row r="576" customFormat="false" ht="15" hidden="false" customHeight="false" outlineLevel="0" collapsed="false">
      <c r="A576" s="23"/>
      <c r="B576" s="23"/>
      <c r="C576" s="23"/>
      <c r="D576" s="23"/>
    </row>
    <row r="577" customFormat="false" ht="15" hidden="false" customHeight="false" outlineLevel="0" collapsed="false">
      <c r="A577" s="23"/>
      <c r="B577" s="23"/>
      <c r="C577" s="23"/>
      <c r="D577" s="23"/>
    </row>
    <row r="578" customFormat="false" ht="15" hidden="false" customHeight="false" outlineLevel="0" collapsed="false">
      <c r="A578" s="23"/>
      <c r="B578" s="23"/>
      <c r="C578" s="23"/>
      <c r="D578" s="23"/>
    </row>
    <row r="579" customFormat="false" ht="15" hidden="false" customHeight="false" outlineLevel="0" collapsed="false">
      <c r="A579" s="23"/>
      <c r="B579" s="23"/>
      <c r="C579" s="23"/>
      <c r="D579" s="23"/>
    </row>
    <row r="580" customFormat="false" ht="15" hidden="false" customHeight="false" outlineLevel="0" collapsed="false">
      <c r="A580" s="23"/>
      <c r="B580" s="23"/>
      <c r="C580" s="23"/>
      <c r="D580" s="23"/>
    </row>
    <row r="581" customFormat="false" ht="15" hidden="false" customHeight="false" outlineLevel="0" collapsed="false">
      <c r="A581" s="23"/>
      <c r="B581" s="23"/>
      <c r="C581" s="23"/>
      <c r="D581" s="23"/>
    </row>
    <row r="582" customFormat="false" ht="15" hidden="false" customHeight="false" outlineLevel="0" collapsed="false">
      <c r="A582" s="23"/>
      <c r="B582" s="23"/>
      <c r="C582" s="23"/>
      <c r="D582" s="23"/>
    </row>
    <row r="583" customFormat="false" ht="15" hidden="false" customHeight="false" outlineLevel="0" collapsed="false">
      <c r="A583" s="23"/>
      <c r="B583" s="23"/>
      <c r="C583" s="23"/>
      <c r="D583" s="23"/>
    </row>
    <row r="584" customFormat="false" ht="15" hidden="false" customHeight="false" outlineLevel="0" collapsed="false">
      <c r="A584" s="23"/>
      <c r="B584" s="23"/>
      <c r="C584" s="23"/>
      <c r="D584" s="23"/>
    </row>
    <row r="585" customFormat="false" ht="15" hidden="false" customHeight="false" outlineLevel="0" collapsed="false">
      <c r="A585" s="23"/>
      <c r="B585" s="23"/>
      <c r="C585" s="23"/>
      <c r="D585" s="23"/>
    </row>
    <row r="586" customFormat="false" ht="15" hidden="false" customHeight="false" outlineLevel="0" collapsed="false">
      <c r="A586" s="23"/>
      <c r="B586" s="23"/>
      <c r="C586" s="23"/>
      <c r="D586" s="23"/>
    </row>
    <row r="587" customFormat="false" ht="15" hidden="false" customHeight="false" outlineLevel="0" collapsed="false">
      <c r="A587" s="23"/>
      <c r="B587" s="23"/>
      <c r="C587" s="23"/>
      <c r="D587" s="23"/>
    </row>
    <row r="588" customFormat="false" ht="15" hidden="false" customHeight="false" outlineLevel="0" collapsed="false">
      <c r="A588" s="23"/>
      <c r="B588" s="23"/>
      <c r="C588" s="23"/>
      <c r="D588" s="23"/>
    </row>
    <row r="589" customFormat="false" ht="15" hidden="false" customHeight="false" outlineLevel="0" collapsed="false">
      <c r="A589" s="23"/>
      <c r="B589" s="23"/>
      <c r="C589" s="23"/>
      <c r="D589" s="23"/>
    </row>
    <row r="590" customFormat="false" ht="15" hidden="false" customHeight="false" outlineLevel="0" collapsed="false">
      <c r="A590" s="23"/>
      <c r="B590" s="23"/>
      <c r="C590" s="23"/>
      <c r="D590" s="23"/>
    </row>
    <row r="591" customFormat="false" ht="15" hidden="false" customHeight="false" outlineLevel="0" collapsed="false">
      <c r="A591" s="23"/>
      <c r="B591" s="23"/>
      <c r="C591" s="23"/>
      <c r="D591" s="23"/>
    </row>
    <row r="592" customFormat="false" ht="15" hidden="false" customHeight="false" outlineLevel="0" collapsed="false">
      <c r="A592" s="23"/>
      <c r="B592" s="23"/>
      <c r="C592" s="23"/>
      <c r="D592" s="23"/>
    </row>
    <row r="593" customFormat="false" ht="15" hidden="false" customHeight="false" outlineLevel="0" collapsed="false">
      <c r="A593" s="23"/>
      <c r="B593" s="23"/>
      <c r="C593" s="23"/>
      <c r="D593" s="23"/>
    </row>
    <row r="594" customFormat="false" ht="15" hidden="false" customHeight="false" outlineLevel="0" collapsed="false">
      <c r="A594" s="23"/>
      <c r="B594" s="23"/>
      <c r="C594" s="23"/>
      <c r="D594" s="23"/>
    </row>
    <row r="595" customFormat="false" ht="15" hidden="false" customHeight="false" outlineLevel="0" collapsed="false">
      <c r="A595" s="23"/>
      <c r="B595" s="23"/>
      <c r="C595" s="23"/>
      <c r="D595" s="23"/>
    </row>
    <row r="596" customFormat="false" ht="15" hidden="false" customHeight="false" outlineLevel="0" collapsed="false">
      <c r="A596" s="23"/>
      <c r="B596" s="23"/>
      <c r="C596" s="23"/>
      <c r="D596" s="23"/>
    </row>
    <row r="597" customFormat="false" ht="15" hidden="false" customHeight="false" outlineLevel="0" collapsed="false">
      <c r="A597" s="23"/>
      <c r="B597" s="23"/>
      <c r="C597" s="23"/>
      <c r="D597" s="23"/>
    </row>
    <row r="598" customFormat="false" ht="15" hidden="false" customHeight="false" outlineLevel="0" collapsed="false">
      <c r="A598" s="23"/>
      <c r="B598" s="23"/>
      <c r="C598" s="23"/>
      <c r="D598" s="23"/>
    </row>
    <row r="599" customFormat="false" ht="15" hidden="false" customHeight="false" outlineLevel="0" collapsed="false">
      <c r="A599" s="23"/>
      <c r="B599" s="23"/>
      <c r="C599" s="23"/>
      <c r="D599" s="23"/>
    </row>
    <row r="600" customFormat="false" ht="15" hidden="false" customHeight="false" outlineLevel="0" collapsed="false">
      <c r="A600" s="23"/>
      <c r="B600" s="23"/>
      <c r="C600" s="23"/>
      <c r="D600" s="23"/>
    </row>
    <row r="601" customFormat="false" ht="15" hidden="false" customHeight="false" outlineLevel="0" collapsed="false">
      <c r="A601" s="23"/>
      <c r="B601" s="23"/>
      <c r="C601" s="23"/>
      <c r="D601" s="23"/>
    </row>
  </sheetData>
  <dataValidations count="2">
    <dataValidation allowBlank="true" errorStyle="stop" operator="between" showDropDown="false" showErrorMessage="false" showInputMessage="false" sqref="B2:B601" type="list">
      <formula1>Lists!$J$2:$J$12</formula1>
      <formula2>0</formula2>
    </dataValidation>
    <dataValidation allowBlank="true" errorStyle="stop" operator="between" showDropDown="false" showErrorMessage="false" showInputMessage="false" sqref="C2:D601" type="list">
      <formula1>Lists!$K$2:$K$3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29" t="s">
        <v>190</v>
      </c>
    </row>
    <row r="3" customFormat="false" ht="15" hidden="false" customHeight="false" outlineLevel="0" collapsed="false">
      <c r="A3" s="30" t="s">
        <v>191</v>
      </c>
      <c r="B3" s="31"/>
      <c r="C3" s="31"/>
    </row>
    <row r="4" customFormat="false" ht="15" hidden="false" customHeight="false" outlineLevel="0" collapsed="false">
      <c r="A4" s="23" t="s">
        <v>192</v>
      </c>
      <c r="B4" s="32" t="n">
        <f aca="false">COUNT(Cases!$X$3:$X$17)</f>
        <v>0</v>
      </c>
      <c r="C4" s="33" t="s">
        <v>193</v>
      </c>
    </row>
    <row r="5" customFormat="false" ht="15" hidden="false" customHeight="false" outlineLevel="0" collapsed="false">
      <c r="A5" s="23" t="s">
        <v>194</v>
      </c>
      <c r="B5" s="32" t="n">
        <f aca="false">COUNTIFS(Cases!$I$3:$I$17,"Fully litigated")</f>
        <v>0</v>
      </c>
      <c r="C5" s="33"/>
    </row>
    <row r="6" customFormat="false" ht="15" hidden="false" customHeight="false" outlineLevel="0" collapsed="false">
      <c r="A6" s="23" t="s">
        <v>195</v>
      </c>
      <c r="B6" s="32" t="str">
        <f aca="false">IFERROR(MEDIAN(Cases!$AN$3:$AN$17),"")</f>
        <v/>
      </c>
      <c r="C6" s="33" t="s">
        <v>196</v>
      </c>
    </row>
    <row r="7" customFormat="false" ht="15" hidden="false" customHeight="false" outlineLevel="0" collapsed="false">
      <c r="A7" s="23" t="s">
        <v>197</v>
      </c>
      <c r="B7" s="34" t="str">
        <f aca="false">IFERROR(COUNT(Cases!$S$3:$S$17)/COUNT(Cases!$X$3:$X$17),"")</f>
        <v/>
      </c>
      <c r="C7" s="33"/>
    </row>
    <row r="8" customFormat="false" ht="15" hidden="false" customHeight="false" outlineLevel="0" collapsed="false">
      <c r="A8" s="30" t="s">
        <v>198</v>
      </c>
      <c r="B8" s="31"/>
      <c r="C8" s="31"/>
    </row>
    <row r="9" customFormat="false" ht="15" hidden="false" customHeight="false" outlineLevel="0" collapsed="false">
      <c r="A9" s="23" t="s">
        <v>199</v>
      </c>
      <c r="B9" s="34" t="str">
        <f aca="false">IFERROR(COUNTIF(Cases!$AJ$3:$AJ$17,"Y")/(COUNTIF(Cases!$AJ$3:$AJ$17,"Y")+COUNTIF(Cases!$AJ$3:$AJ$17,"N")),"")</f>
        <v/>
      </c>
      <c r="C9" s="33" t="s">
        <v>200</v>
      </c>
    </row>
    <row r="10" customFormat="false" ht="15" hidden="false" customHeight="false" outlineLevel="0" collapsed="false">
      <c r="A10" s="23" t="s">
        <v>201</v>
      </c>
      <c r="B10" s="35" t="str">
        <f aca="false">IFERROR(AVERAGE(Cases!$AQ$3:$AQ$17),"")</f>
        <v/>
      </c>
      <c r="C10" s="33"/>
    </row>
    <row r="11" customFormat="false" ht="15" hidden="false" customHeight="false" outlineLevel="0" collapsed="false">
      <c r="A11" s="23" t="s">
        <v>202</v>
      </c>
      <c r="B11" s="34" t="str">
        <f aca="false">IFERROR(COUNTIF(Cases!$AT$3:$AT$17,"National avg")/(COUNTIF(Cases!$AT$3:$AT$17,"National avg")+COUNTIF(Cases!$AT$3:$AT$17,"Record midpoint")+COUNTIF(Cases!$AT$3:$AT$17,"Tie")),"")</f>
        <v/>
      </c>
      <c r="C11" s="33" t="s">
        <v>203</v>
      </c>
    </row>
    <row r="12" customFormat="false" ht="15" hidden="false" customHeight="false" outlineLevel="0" collapsed="false">
      <c r="A12" s="23" t="s">
        <v>204</v>
      </c>
      <c r="B12" s="36" t="str">
        <f aca="false">IFERROR(AVERAGE(Cases!$AU$3:$AU$17),"")</f>
        <v/>
      </c>
      <c r="C12" s="33"/>
    </row>
    <row r="13" customFormat="false" ht="15" hidden="false" customHeight="false" outlineLevel="0" collapsed="false">
      <c r="A13" s="23" t="s">
        <v>205</v>
      </c>
      <c r="B13" s="34" t="str">
        <f aca="false">IFERROR(SUM(Case_Codes!$N$3:$N$17)/COUNT(Case_Codes!$N$3:$N$17),"")</f>
        <v/>
      </c>
      <c r="C13" s="33" t="s">
        <v>206</v>
      </c>
    </row>
    <row r="14" customFormat="false" ht="15" hidden="false" customHeight="false" outlineLevel="0" collapsed="false">
      <c r="A14" s="23" t="s">
        <v>207</v>
      </c>
      <c r="B14" s="34" t="str">
        <f aca="false">IFERROR(SUM(Case_Codes!$O$3:$O$17)/COUNT(Case_Codes!$O$3:$O$17),"")</f>
        <v/>
      </c>
      <c r="C14" s="33" t="s">
        <v>206</v>
      </c>
    </row>
    <row r="15" customFormat="false" ht="15" hidden="false" customHeight="false" outlineLevel="0" collapsed="false">
      <c r="A15" s="23" t="s">
        <v>208</v>
      </c>
      <c r="B15" s="35" t="str">
        <f aca="false">IFERROR(AVERAGE(Case_Codes!$P$3:$P$17),"")</f>
        <v/>
      </c>
      <c r="C15" s="33" t="s">
        <v>209</v>
      </c>
    </row>
    <row r="16" customFormat="false" ht="15" hidden="false" customHeight="false" outlineLevel="0" collapsed="false">
      <c r="A16" s="30" t="s">
        <v>210</v>
      </c>
      <c r="B16" s="31"/>
      <c r="C16" s="31"/>
    </row>
    <row r="17" customFormat="false" ht="15" hidden="false" customHeight="false" outlineLevel="0" collapsed="false">
      <c r="A17" s="23" t="s">
        <v>211</v>
      </c>
      <c r="B17" s="32" t="n">
        <f aca="false">COUNTIF(Cases!$BE$3:$BE$17,"Pre (2019-21)")</f>
        <v>0</v>
      </c>
      <c r="C17" s="33"/>
    </row>
    <row r="18" customFormat="false" ht="15" hidden="false" customHeight="false" outlineLevel="0" collapsed="false">
      <c r="A18" s="23" t="s">
        <v>212</v>
      </c>
      <c r="B18" s="32" t="n">
        <f aca="false">COUNTIF(Cases!$BE$3:$BE$17,"Transition (2022)")</f>
        <v>0</v>
      </c>
      <c r="C18" s="33" t="s">
        <v>213</v>
      </c>
    </row>
    <row r="19" customFormat="false" ht="15" hidden="false" customHeight="false" outlineLevel="0" collapsed="false">
      <c r="A19" s="23" t="s">
        <v>214</v>
      </c>
      <c r="B19" s="32" t="n">
        <f aca="false">COUNTIF(Cases!$BE$3:$BE$17,"Post (2023-)")</f>
        <v>0</v>
      </c>
      <c r="C19" s="33"/>
    </row>
    <row r="20" customFormat="false" ht="15" hidden="false" customHeight="false" outlineLevel="0" collapsed="false">
      <c r="A20" s="23" t="s">
        <v>215</v>
      </c>
      <c r="B20" s="36" t="str">
        <f aca="false">IFERROR(AVERAGEIFS(Cases!$BC$3:$BC$17,Cases!$BE$3:$BE$17,"Post (2023-)"),"")</f>
        <v/>
      </c>
      <c r="C20" s="33" t="s">
        <v>216</v>
      </c>
    </row>
    <row r="21" customFormat="false" ht="15" hidden="false" customHeight="false" outlineLevel="0" collapsed="false">
      <c r="A21" s="23" t="s">
        <v>217</v>
      </c>
      <c r="B21" s="36" t="str">
        <f aca="false">IFERROR(AVERAGEIFS(Cases!$AU$3:$AU$17,Cases!$BE$3:$BE$17,"Pre (2019-21)"),"")</f>
        <v/>
      </c>
      <c r="C21" s="33"/>
    </row>
    <row r="22" customFormat="false" ht="15" hidden="false" customHeight="false" outlineLevel="0" collapsed="false">
      <c r="A22" s="23" t="s">
        <v>218</v>
      </c>
      <c r="B22" s="36" t="str">
        <f aca="false">IFERROR(AVERAGEIFS(Cases!$AU$3:$AU$17,Cases!$BE$3:$BE$17,"Post (2023-)"),"")</f>
        <v/>
      </c>
      <c r="C22" s="33" t="s">
        <v>219</v>
      </c>
    </row>
    <row r="23" customFormat="false" ht="15" hidden="false" customHeight="false" outlineLevel="0" collapsed="false">
      <c r="A23" s="23" t="s">
        <v>220</v>
      </c>
      <c r="B23" s="35" t="str">
        <f aca="false">IFERROR(AVERAGEIFS(Cases!$AQ$3:$AQ$17,Cases!$BE$3:$BE$17,"Pre (2019-21)"),"")</f>
        <v/>
      </c>
      <c r="C23" s="33" t="s">
        <v>221</v>
      </c>
    </row>
    <row r="24" customFormat="false" ht="15" hidden="false" customHeight="false" outlineLevel="0" collapsed="false">
      <c r="A24" s="23" t="s">
        <v>222</v>
      </c>
      <c r="B24" s="35" t="str">
        <f aca="false">IFERROR(AVERAGEIFS(Cases!$AQ$3:$AQ$17,Cases!$BE$3:$BE$17,"Post (2023-)"),"")</f>
        <v/>
      </c>
      <c r="C24" s="33"/>
    </row>
    <row r="25" customFormat="false" ht="15" hidden="false" customHeight="false" outlineLevel="0" collapsed="false">
      <c r="A25" s="23" t="s">
        <v>223</v>
      </c>
      <c r="B25" s="36" t="str">
        <f aca="false">IFERROR(AVERAGE(Cases!$BD$3:$BD$17),"")</f>
        <v/>
      </c>
      <c r="C25" s="33" t="s">
        <v>224</v>
      </c>
    </row>
    <row r="26" customFormat="false" ht="15" hidden="false" customHeight="false" outlineLevel="0" collapsed="false">
      <c r="A26" s="30" t="s">
        <v>225</v>
      </c>
      <c r="B26" s="31"/>
      <c r="C26" s="31"/>
    </row>
    <row r="27" customFormat="false" ht="15" hidden="false" customHeight="false" outlineLevel="0" collapsed="false">
      <c r="A27" s="23" t="s">
        <v>226</v>
      </c>
      <c r="B27" s="34" t="str">
        <f aca="false">IFERROR(SUM(Case_Codes!$C$3:$C$17)/SUM(Case_Codes!$B$3:$B$17),"")</f>
        <v/>
      </c>
      <c r="C27" s="33"/>
    </row>
    <row r="28" customFormat="false" ht="15" hidden="false" customHeight="false" outlineLevel="0" collapsed="false">
      <c r="A28" s="23" t="s">
        <v>227</v>
      </c>
      <c r="B28" s="34" t="str">
        <f aca="false">IFERROR(SUM(Case_Codes!$D$3:$D$17)/SUM(Case_Codes!$B$3:$B$17),"")</f>
        <v/>
      </c>
      <c r="C28" s="33"/>
    </row>
    <row r="29" customFormat="false" ht="15" hidden="false" customHeight="false" outlineLevel="0" collapsed="false">
      <c r="A29" s="23" t="s">
        <v>228</v>
      </c>
      <c r="B29" s="34" t="str">
        <f aca="false">IFERROR(SUM(Case_Codes!$E$3:$E$17)/SUM(Case_Codes!$B$3:$B$17),"")</f>
        <v/>
      </c>
      <c r="C29" s="33"/>
    </row>
    <row r="30" customFormat="false" ht="15" hidden="false" customHeight="false" outlineLevel="0" collapsed="false">
      <c r="A30" s="23" t="s">
        <v>229</v>
      </c>
      <c r="B30" s="34" t="str">
        <f aca="false">IFERROR(SUM(Case_Codes!$F$3:$F$17)/SUM(Case_Codes!$B$3:$B$17),"")</f>
        <v/>
      </c>
      <c r="C30" s="33"/>
    </row>
    <row r="31" customFormat="false" ht="15" hidden="false" customHeight="false" outlineLevel="0" collapsed="false">
      <c r="A31" s="23" t="s">
        <v>230</v>
      </c>
      <c r="B31" s="34" t="str">
        <f aca="false">IFERROR(SUM(Case_Codes!$G$3:$G$17)/SUM(Case_Codes!$B$3:$B$17),"")</f>
        <v/>
      </c>
      <c r="C31" s="33"/>
    </row>
    <row r="32" customFormat="false" ht="15" hidden="false" customHeight="false" outlineLevel="0" collapsed="false">
      <c r="A32" s="23" t="s">
        <v>231</v>
      </c>
      <c r="B32" s="34" t="str">
        <f aca="false">IFERROR(SUM(Case_Codes!$H$3:$H$17)/SUM(Case_Codes!$B$3:$B$17),"")</f>
        <v/>
      </c>
      <c r="C32" s="33"/>
    </row>
    <row r="33" customFormat="false" ht="15" hidden="false" customHeight="false" outlineLevel="0" collapsed="false">
      <c r="A33" s="23" t="s">
        <v>232</v>
      </c>
      <c r="B33" s="34" t="str">
        <f aca="false">IFERROR(SUM(Case_Codes!$I$3:$I$17)/SUM(Case_Codes!$B$3:$B$17),"")</f>
        <v/>
      </c>
      <c r="C33" s="33"/>
    </row>
    <row r="34" customFormat="false" ht="15" hidden="false" customHeight="false" outlineLevel="0" collapsed="false">
      <c r="A34" s="23" t="s">
        <v>233</v>
      </c>
      <c r="B34" s="34" t="str">
        <f aca="false">IFERROR(SUM(Case_Codes!$J$3:$J$17)/SUM(Case_Codes!$B$3:$B$17),"")</f>
        <v/>
      </c>
      <c r="C34" s="33"/>
    </row>
    <row r="35" customFormat="false" ht="15" hidden="false" customHeight="false" outlineLevel="0" collapsed="false">
      <c r="A35" s="23" t="s">
        <v>234</v>
      </c>
      <c r="B35" s="34" t="str">
        <f aca="false">IFERROR(SUM(Case_Codes!$K$3:$K$17)/SUM(Case_Codes!$B$3:$B$17),"")</f>
        <v/>
      </c>
      <c r="C35" s="33"/>
    </row>
    <row r="36" customFormat="false" ht="15" hidden="false" customHeight="false" outlineLevel="0" collapsed="false">
      <c r="A36" s="23" t="s">
        <v>235</v>
      </c>
      <c r="B36" s="34" t="str">
        <f aca="false">IFERROR(SUM(Case_Codes!$L$3:$L$17)/SUM(Case_Codes!$B$3:$B$17),"")</f>
        <v/>
      </c>
      <c r="C36" s="33"/>
    </row>
    <row r="37" customFormat="false" ht="15" hidden="false" customHeight="false" outlineLevel="0" collapsed="false">
      <c r="A37" s="23" t="s">
        <v>236</v>
      </c>
      <c r="B37" s="34" t="str">
        <f aca="false">IFERROR(SUM(Case_Codes!$M$3:$M$17)/SUM(Case_Codes!$B$3:$B$17),"")</f>
        <v/>
      </c>
      <c r="C37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2"/>
  </cols>
  <sheetData>
    <row r="1" customFormat="false" ht="15" hidden="false" customHeight="false" outlineLevel="0" collapsed="false">
      <c r="A1" s="4" t="s">
        <v>237</v>
      </c>
      <c r="B1" s="4" t="s">
        <v>238</v>
      </c>
      <c r="C1" s="4" t="s">
        <v>239</v>
      </c>
      <c r="D1" s="4" t="s">
        <v>240</v>
      </c>
      <c r="E1" s="4" t="s">
        <v>241</v>
      </c>
      <c r="F1" s="4" t="s">
        <v>242</v>
      </c>
      <c r="G1" s="4" t="s">
        <v>243</v>
      </c>
      <c r="H1" s="4" t="s">
        <v>244</v>
      </c>
      <c r="I1" s="4" t="s">
        <v>245</v>
      </c>
      <c r="J1" s="4" t="s">
        <v>246</v>
      </c>
      <c r="K1" s="4" t="s">
        <v>247</v>
      </c>
      <c r="L1" s="4" t="s">
        <v>248</v>
      </c>
    </row>
    <row r="2" customFormat="false" ht="15" hidden="false" customHeight="false" outlineLevel="0" collapsed="false">
      <c r="A2" s="3" t="s">
        <v>249</v>
      </c>
      <c r="B2" s="3" t="s">
        <v>116</v>
      </c>
      <c r="C2" s="3" t="s">
        <v>117</v>
      </c>
      <c r="D2" s="3" t="s">
        <v>118</v>
      </c>
      <c r="E2" s="3" t="s">
        <v>250</v>
      </c>
      <c r="F2" s="3" t="s">
        <v>251</v>
      </c>
      <c r="G2" s="3" t="s">
        <v>252</v>
      </c>
      <c r="H2" s="3" t="s">
        <v>160</v>
      </c>
      <c r="I2" s="3" t="s">
        <v>253</v>
      </c>
      <c r="J2" s="3" t="s">
        <v>140</v>
      </c>
      <c r="K2" s="3" t="n">
        <v>0</v>
      </c>
      <c r="L2" s="3" t="s">
        <v>254</v>
      </c>
    </row>
    <row r="3" customFormat="false" ht="15" hidden="false" customHeight="false" outlineLevel="0" collapsed="false">
      <c r="A3" s="3" t="s">
        <v>255</v>
      </c>
      <c r="B3" s="3" t="s">
        <v>256</v>
      </c>
      <c r="C3" s="3" t="s">
        <v>257</v>
      </c>
      <c r="D3" s="3" t="s">
        <v>258</v>
      </c>
      <c r="E3" s="3" t="s">
        <v>259</v>
      </c>
      <c r="F3" s="3" t="s">
        <v>260</v>
      </c>
      <c r="G3" s="3" t="s">
        <v>261</v>
      </c>
      <c r="H3" s="3" t="s">
        <v>262</v>
      </c>
      <c r="I3" s="3" t="s">
        <v>263</v>
      </c>
      <c r="J3" s="3" t="s">
        <v>142</v>
      </c>
      <c r="K3" s="3" t="n">
        <v>1</v>
      </c>
      <c r="L3" s="3" t="s">
        <v>111</v>
      </c>
    </row>
    <row r="4" customFormat="false" ht="15" hidden="false" customHeight="false" outlineLevel="0" collapsed="false">
      <c r="A4" s="3" t="s">
        <v>264</v>
      </c>
      <c r="B4" s="3" t="s">
        <v>265</v>
      </c>
      <c r="C4" s="3" t="s">
        <v>266</v>
      </c>
      <c r="D4" s="3" t="s">
        <v>267</v>
      </c>
      <c r="G4" s="3" t="s">
        <v>157</v>
      </c>
      <c r="H4" s="3" t="s">
        <v>268</v>
      </c>
      <c r="I4" s="3" t="s">
        <v>269</v>
      </c>
      <c r="J4" s="3" t="s">
        <v>143</v>
      </c>
      <c r="L4" s="3" t="s">
        <v>270</v>
      </c>
    </row>
    <row r="5" customFormat="false" ht="15" hidden="false" customHeight="false" outlineLevel="0" collapsed="false">
      <c r="A5" s="3" t="s">
        <v>112</v>
      </c>
      <c r="C5" s="3" t="s">
        <v>271</v>
      </c>
      <c r="G5" s="3" t="s">
        <v>272</v>
      </c>
      <c r="H5" s="3" t="s">
        <v>273</v>
      </c>
      <c r="I5" s="3" t="s">
        <v>274</v>
      </c>
      <c r="J5" s="3" t="s">
        <v>144</v>
      </c>
    </row>
    <row r="6" customFormat="false" ht="15" hidden="false" customHeight="false" outlineLevel="0" collapsed="false">
      <c r="A6" s="3" t="s">
        <v>275</v>
      </c>
      <c r="I6" s="3" t="s">
        <v>276</v>
      </c>
      <c r="J6" s="3" t="s">
        <v>145</v>
      </c>
    </row>
    <row r="7" customFormat="false" ht="15" hidden="false" customHeight="false" outlineLevel="0" collapsed="false">
      <c r="A7" s="3" t="s">
        <v>277</v>
      </c>
      <c r="I7" s="3" t="s">
        <v>278</v>
      </c>
      <c r="J7" s="3" t="s">
        <v>146</v>
      </c>
    </row>
    <row r="8" customFormat="false" ht="15" hidden="false" customHeight="false" outlineLevel="0" collapsed="false">
      <c r="I8" s="3" t="s">
        <v>159</v>
      </c>
      <c r="J8" s="3" t="s">
        <v>147</v>
      </c>
    </row>
    <row r="9" customFormat="false" ht="15" hidden="false" customHeight="false" outlineLevel="0" collapsed="false">
      <c r="J9" s="3" t="s">
        <v>148</v>
      </c>
    </row>
    <row r="10" customFormat="false" ht="15" hidden="false" customHeight="false" outlineLevel="0" collapsed="false">
      <c r="J10" s="3" t="s">
        <v>149</v>
      </c>
    </row>
    <row r="11" customFormat="false" ht="15" hidden="false" customHeight="false" outlineLevel="0" collapsed="false">
      <c r="J11" s="3" t="s">
        <v>150</v>
      </c>
    </row>
    <row r="12" customFormat="false" ht="15" hidden="false" customHeight="false" outlineLevel="0" collapsed="false">
      <c r="J12" s="3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2026-09-29T21:04:58Z</dcterms:created>
  <dc:creator>openpyxl</dc:creator>
  <dc:description/>
  <dc:language>en-US</dc:language>
  <cp:lastModifiedBy/>
  <dcterms:modified xsi:type="dcterms:W3CDTF">2026-09-29T21:04:58Z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